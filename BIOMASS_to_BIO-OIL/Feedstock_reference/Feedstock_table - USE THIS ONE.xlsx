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holst_dtu_dk/Documents/Ali arbejde/"/>
    </mc:Choice>
  </mc:AlternateContent>
  <xr:revisionPtr revIDLastSave="7432" documentId="11_AD4D1D646341095ACB70009A15D1F1DC683EDF12" xr6:coauthVersionLast="47" xr6:coauthVersionMax="47" xr10:uidLastSave="{687C680D-6ABB-4CDA-9244-0DCEDF954EC5}"/>
  <bookViews>
    <workbookView xWindow="-120" yWindow="-120" windowWidth="29040" windowHeight="17520" xr2:uid="{00000000-000D-0000-FFFF-FFFF00000000}"/>
  </bookViews>
  <sheets>
    <sheet name="w.proximate+ultimate" sheetId="1" r:id="rId1"/>
    <sheet name="Bio-oil values" sheetId="3" r:id="rId2"/>
    <sheet name="Feedstock tab 1.3 BOO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6" i="1" l="1"/>
  <c r="M395" i="1"/>
  <c r="M393" i="1"/>
  <c r="M392" i="1"/>
  <c r="M391" i="1"/>
  <c r="I274" i="1"/>
  <c r="M274" i="1"/>
  <c r="M494" i="1"/>
  <c r="M488" i="1"/>
  <c r="M486" i="1"/>
  <c r="M484" i="1"/>
  <c r="M480" i="1"/>
  <c r="M479" i="1"/>
  <c r="M478" i="1"/>
  <c r="M476" i="1"/>
  <c r="M474" i="1"/>
  <c r="M472" i="1"/>
  <c r="M469" i="1"/>
  <c r="M451" i="1"/>
  <c r="M450" i="1"/>
  <c r="M446" i="1"/>
  <c r="M445" i="1"/>
  <c r="M444" i="1"/>
  <c r="M438" i="1"/>
  <c r="M437" i="1"/>
  <c r="M372" i="1"/>
  <c r="M371" i="1"/>
  <c r="M370" i="1"/>
  <c r="M369" i="1"/>
  <c r="M368" i="1"/>
  <c r="M367" i="1"/>
  <c r="M366" i="1"/>
  <c r="M365" i="1"/>
  <c r="M364" i="1"/>
  <c r="M356" i="1"/>
  <c r="M355" i="1"/>
  <c r="M354" i="1"/>
  <c r="M352" i="1"/>
  <c r="M343" i="1"/>
  <c r="M341" i="1"/>
  <c r="M332" i="1"/>
  <c r="M329" i="1"/>
  <c r="M309" i="1"/>
  <c r="M247" i="1"/>
  <c r="M246" i="1"/>
  <c r="M245" i="1"/>
  <c r="M244" i="1"/>
  <c r="M243" i="1"/>
  <c r="M242" i="1"/>
  <c r="M241" i="1"/>
  <c r="M240" i="1"/>
  <c r="M128" i="1"/>
  <c r="M127" i="1"/>
  <c r="M125" i="1"/>
  <c r="M124" i="1"/>
  <c r="M123" i="1"/>
  <c r="M122" i="1"/>
  <c r="M121" i="1"/>
  <c r="M120" i="1"/>
  <c r="M119" i="1"/>
  <c r="M110" i="1"/>
  <c r="M109" i="1"/>
  <c r="M108" i="1"/>
  <c r="M107" i="1"/>
  <c r="M106" i="1"/>
  <c r="M104" i="1"/>
  <c r="M103" i="1"/>
  <c r="M102" i="1"/>
  <c r="M25" i="1"/>
  <c r="M24" i="1"/>
  <c r="M23" i="1"/>
  <c r="M22" i="1"/>
  <c r="M21" i="1"/>
  <c r="M19" i="1"/>
  <c r="M17" i="1"/>
  <c r="M9" i="1"/>
  <c r="M12" i="1"/>
  <c r="M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tc={487DA60B-D626-443C-AC67-6E0707BADBBC}</author>
    <author>tc={E730F02A-ACDE-433B-9BA2-745DC705F061}</author>
    <author>tc={CBA9F8CC-42B0-423E-B1EA-D550D2E836E4}</author>
  </authors>
  <commentList>
    <comment ref="B249" authorId="0" shapeId="0" xr:uid="{487DA60B-D626-443C-AC67-6E0707BADBBC}">
      <text>
        <t>[Threaded comment]
Your version of Excel allows you to read this threaded comment; however, any edits to it will get removed if the file is opened in a newer version of Excel. Learn more: https://go.microsoft.com/fwlink/?linkid=870924
Comment:
    Bio-oil conversion is 4%</t>
      </text>
    </comment>
    <comment ref="B250" authorId="1" shapeId="0" xr:uid="{E730F02A-ACDE-433B-9BA2-745DC705F0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Bio-oil conversion is 18%
</t>
      </text>
    </comment>
    <comment ref="B251" authorId="2" shapeId="0" xr:uid="{CBA9F8CC-42B0-423E-B1EA-D550D2E836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Bio-oil conversion is 12%
</t>
      </text>
    </comment>
  </commentList>
</comments>
</file>

<file path=xl/sharedStrings.xml><?xml version="1.0" encoding="utf-8"?>
<sst xmlns="http://schemas.openxmlformats.org/spreadsheetml/2006/main" count="1740" uniqueCount="942">
  <si>
    <t>Wood:</t>
  </si>
  <si>
    <t>Pine chips</t>
  </si>
  <si>
    <t>Willow</t>
  </si>
  <si>
    <t>Reed canary grass</t>
  </si>
  <si>
    <t>Residues and wastes:</t>
  </si>
  <si>
    <t>Straw</t>
  </si>
  <si>
    <t>Manure</t>
  </si>
  <si>
    <t>Sewage sludge</t>
  </si>
  <si>
    <t>water hyacinth</t>
  </si>
  <si>
    <t>Giant brown kelp</t>
  </si>
  <si>
    <t>Bituminous coal</t>
  </si>
  <si>
    <t>Pure cellulose</t>
  </si>
  <si>
    <t>Proximate Analysis (wt% ar)</t>
  </si>
  <si>
    <t>Moisture</t>
  </si>
  <si>
    <t>Ash</t>
  </si>
  <si>
    <t>Ultimate Analysis (wt% daf)</t>
  </si>
  <si>
    <t>C</t>
  </si>
  <si>
    <t>H</t>
  </si>
  <si>
    <t>O</t>
  </si>
  <si>
    <t>N</t>
  </si>
  <si>
    <t>S</t>
  </si>
  <si>
    <t>HHV (MJ/kg dry)</t>
  </si>
  <si>
    <t>[1]</t>
  </si>
  <si>
    <t>References:</t>
  </si>
  <si>
    <t>Process-specific conversion?</t>
  </si>
  <si>
    <t>Regionality? (where is it obtainable and processable)</t>
  </si>
  <si>
    <t>Feedstock:</t>
  </si>
  <si>
    <t>Generation:</t>
  </si>
  <si>
    <t>First</t>
  </si>
  <si>
    <t>Type</t>
  </si>
  <si>
    <t>Crops</t>
  </si>
  <si>
    <t>Food and fodder crops</t>
  </si>
  <si>
    <t>Sugar</t>
  </si>
  <si>
    <t>Starch</t>
  </si>
  <si>
    <t>Oil</t>
  </si>
  <si>
    <t>Fodder</t>
  </si>
  <si>
    <t>Second</t>
  </si>
  <si>
    <t>Lignocellulosic crops</t>
  </si>
  <si>
    <t>Woody</t>
  </si>
  <si>
    <t>Herbaceous</t>
  </si>
  <si>
    <t>Third</t>
  </si>
  <si>
    <t>Aquatic</t>
  </si>
  <si>
    <t>Microalgae</t>
  </si>
  <si>
    <t>Macroalgae</t>
  </si>
  <si>
    <t>Water plants</t>
  </si>
  <si>
    <t>Wastes</t>
  </si>
  <si>
    <t>Natural</t>
  </si>
  <si>
    <t>Agricultural</t>
  </si>
  <si>
    <t>Forest</t>
  </si>
  <si>
    <t>Municipal</t>
  </si>
  <si>
    <t>Industrial</t>
  </si>
  <si>
    <t>Man-made</t>
  </si>
  <si>
    <t>Examples</t>
  </si>
  <si>
    <t>Sugarrcane</t>
  </si>
  <si>
    <t>sugar beet</t>
  </si>
  <si>
    <t>sweet sorghum</t>
  </si>
  <si>
    <t>Corn</t>
  </si>
  <si>
    <t xml:space="preserve">wheat </t>
  </si>
  <si>
    <t>potato rye</t>
  </si>
  <si>
    <t>cassava</t>
  </si>
  <si>
    <t>triticale</t>
  </si>
  <si>
    <t>soybean</t>
  </si>
  <si>
    <t>rapeseed</t>
  </si>
  <si>
    <t>oil</t>
  </si>
  <si>
    <t>palm</t>
  </si>
  <si>
    <t>cottonseed</t>
  </si>
  <si>
    <t>peanut</t>
  </si>
  <si>
    <t>sunflower</t>
  </si>
  <si>
    <t>Lucerne</t>
  </si>
  <si>
    <t>grass</t>
  </si>
  <si>
    <t>poplar</t>
  </si>
  <si>
    <t>eucalyptus</t>
  </si>
  <si>
    <t>acacia</t>
  </si>
  <si>
    <t>mischanthus</t>
  </si>
  <si>
    <t>switchgrass</t>
  </si>
  <si>
    <t>reed canary grass</t>
  </si>
  <si>
    <t>chlorella</t>
  </si>
  <si>
    <t>spirullina</t>
  </si>
  <si>
    <t>seaweed</t>
  </si>
  <si>
    <t>kelp</t>
  </si>
  <si>
    <t>salt marshes</t>
  </si>
  <si>
    <t>sea grass</t>
  </si>
  <si>
    <t>animal manures</t>
  </si>
  <si>
    <t>field resiudes</t>
  </si>
  <si>
    <t>processing residues</t>
  </si>
  <si>
    <t>logging residues</t>
  </si>
  <si>
    <t>excess small pole trees</t>
  </si>
  <si>
    <t>MSW</t>
  </si>
  <si>
    <t>sewage sludge</t>
  </si>
  <si>
    <t>demolition wood</t>
  </si>
  <si>
    <t>food waste</t>
  </si>
  <si>
    <t>waste oil</t>
  </si>
  <si>
    <t>pulp and paper</t>
  </si>
  <si>
    <t>black liquour</t>
  </si>
  <si>
    <t>sludges</t>
  </si>
  <si>
    <t>LHV (MJ/kg)</t>
  </si>
  <si>
    <t>[2]</t>
  </si>
  <si>
    <t>[1] Efficiency of Biomass Energy - 2015 - Ptasinski.</t>
  </si>
  <si>
    <t>[2] Bio-oil production from cotton stalk, https://doi.org/10.1016/j.enconman.2007.11.005</t>
  </si>
  <si>
    <t>olive residue</t>
  </si>
  <si>
    <t>[3]</t>
  </si>
  <si>
    <t>[3] bio-oil from olive oil industry wastes pyrolysis of olive residue under different conditions, https://doi.org/10.1016/j.fuproc.2005.04.003</t>
  </si>
  <si>
    <t>sesame stalk</t>
  </si>
  <si>
    <t>[4]</t>
  </si>
  <si>
    <t>[4] Fast pyrolysis of sesame stalk: yields and structural analysis of bio-oil</t>
  </si>
  <si>
    <t>Sesame stalk</t>
  </si>
  <si>
    <t>LHV(MJ/kg)</t>
  </si>
  <si>
    <t>HHV(MJ/kg)</t>
  </si>
  <si>
    <t>References</t>
  </si>
  <si>
    <t>Need help with this table</t>
  </si>
  <si>
    <t>Do we need to think about</t>
  </si>
  <si>
    <t>Pentane, Toluene, Methanol oil fractions as well</t>
  </si>
  <si>
    <t>Beech</t>
  </si>
  <si>
    <t>[5]</t>
  </si>
  <si>
    <t>Cotton stalk_2</t>
  </si>
  <si>
    <t>[5] Bio-energy potential of cotton stalks via thermal technologies: a review</t>
  </si>
  <si>
    <t>[6] GICO</t>
  </si>
  <si>
    <t>Pyrolysis suitability</t>
  </si>
  <si>
    <t>1-5 (5 is the most suitable)</t>
  </si>
  <si>
    <t>Arbutus Unedo</t>
  </si>
  <si>
    <t>[7]</t>
  </si>
  <si>
    <t>[7] The Evritania (Greece) demonstration plant of biomass pyrolysis</t>
  </si>
  <si>
    <t>Chips beech</t>
  </si>
  <si>
    <t>Forestry residues</t>
  </si>
  <si>
    <t>Elemental analysis</t>
  </si>
  <si>
    <t>Alten</t>
  </si>
  <si>
    <t>BASA</t>
  </si>
  <si>
    <t>Laval</t>
  </si>
  <si>
    <t>Waterloo</t>
  </si>
  <si>
    <t>Ensyn</t>
  </si>
  <si>
    <t>regionality</t>
  </si>
  <si>
    <t>Greece</t>
  </si>
  <si>
    <t>Italy</t>
  </si>
  <si>
    <t>Canada</t>
  </si>
  <si>
    <t>[6]</t>
  </si>
  <si>
    <t>50-56</t>
  </si>
  <si>
    <t>0.05-0.69</t>
  </si>
  <si>
    <t>From fir</t>
  </si>
  <si>
    <t>24-60</t>
  </si>
  <si>
    <t>Wood chips from industry</t>
  </si>
  <si>
    <t>Feedstock category</t>
  </si>
  <si>
    <t>Feedstock subcategory</t>
  </si>
  <si>
    <t>Wood</t>
  </si>
  <si>
    <t>Oak wood1</t>
  </si>
  <si>
    <t>Oak wood2</t>
  </si>
  <si>
    <t>Branches and leaves from poplar tree 11</t>
  </si>
  <si>
    <t>Branches and leaves from poplar tree 1</t>
  </si>
  <si>
    <t>Branches and leaves from poplar tree 2</t>
  </si>
  <si>
    <t>Branches and leaves from poplar tree 3</t>
  </si>
  <si>
    <t>Branches and leaves from poplar tree 4</t>
  </si>
  <si>
    <t>Branches and leaves from poplar tree 5</t>
  </si>
  <si>
    <t>Branches and leaves from poplar tree 6</t>
  </si>
  <si>
    <t>Branches and leaves from poplar tree 7</t>
  </si>
  <si>
    <t>Branches and leaves from poplar tree 8</t>
  </si>
  <si>
    <t>Branches and leaves from poplar tree 9</t>
  </si>
  <si>
    <t>Branches and leaves from poplar tree 10</t>
  </si>
  <si>
    <t>Branches and leaves from poplar tree 12</t>
  </si>
  <si>
    <t>Wheat straw 1</t>
  </si>
  <si>
    <t>Wheat straw 2</t>
  </si>
  <si>
    <t>Wheat straw 3</t>
  </si>
  <si>
    <t>Wheat straw 4</t>
  </si>
  <si>
    <t>Wheat straw 5</t>
  </si>
  <si>
    <t>Wheat straw 6</t>
  </si>
  <si>
    <t>Wheat straw 7</t>
  </si>
  <si>
    <t>Wheat straw 8</t>
  </si>
  <si>
    <t>Wheat straw 9</t>
  </si>
  <si>
    <t>Wheat straw 10</t>
  </si>
  <si>
    <t>Oil rape straw 1</t>
  </si>
  <si>
    <t>Oil rape straw 2</t>
  </si>
  <si>
    <t>Oil rape straw 3</t>
  </si>
  <si>
    <t>Oil rape straw 4</t>
  </si>
  <si>
    <t>Oil rape straw 5</t>
  </si>
  <si>
    <t>Maize stover 1</t>
  </si>
  <si>
    <t>Maize stover 2</t>
  </si>
  <si>
    <t>Maize stover 3</t>
  </si>
  <si>
    <t>Maize stover 4</t>
  </si>
  <si>
    <t>Maize stover 5</t>
  </si>
  <si>
    <t>Maize stover 6</t>
  </si>
  <si>
    <t>Agricultural wastes</t>
  </si>
  <si>
    <t>Sugarbeet leaves 1</t>
  </si>
  <si>
    <t>Sugarbeet leaves 2</t>
  </si>
  <si>
    <t>Sugarbeet leaves 3</t>
  </si>
  <si>
    <t>Sugarbeet leaves 4</t>
  </si>
  <si>
    <t>Sugarbeet leaves 5</t>
  </si>
  <si>
    <t>Sunflower stalk 1</t>
  </si>
  <si>
    <t>Sunflower stalk 2</t>
  </si>
  <si>
    <t>Sunflower stalk 3</t>
  </si>
  <si>
    <t>Olive tree pruning 1</t>
  </si>
  <si>
    <t>Olive tree pruning 2</t>
  </si>
  <si>
    <t>Olive tree pruning 3</t>
  </si>
  <si>
    <t>Olive tree pruning 4</t>
  </si>
  <si>
    <t>Olive tree pruning 5</t>
  </si>
  <si>
    <t>Olive tree pruning 6</t>
  </si>
  <si>
    <t>Vine pruning</t>
  </si>
  <si>
    <t>Almond shell</t>
  </si>
  <si>
    <t>Hazelnut shell</t>
  </si>
  <si>
    <t>Almond</t>
  </si>
  <si>
    <t>Grape Stalks</t>
  </si>
  <si>
    <t>Oil free-seeds</t>
  </si>
  <si>
    <t>Olive pomace 1</t>
  </si>
  <si>
    <t>Olive pomace 2</t>
  </si>
  <si>
    <t>Olive pomace 3</t>
  </si>
  <si>
    <t>Olive pomace 4</t>
  </si>
  <si>
    <t>Olive pomace 5</t>
  </si>
  <si>
    <t>Olive pomace 6</t>
  </si>
  <si>
    <t>Olive pomace 7</t>
  </si>
  <si>
    <t>Broccoli</t>
  </si>
  <si>
    <t>Thistle</t>
  </si>
  <si>
    <t>Whey</t>
  </si>
  <si>
    <t>Residual wood</t>
  </si>
  <si>
    <t>Wood sawdust 1</t>
  </si>
  <si>
    <t>Wood sawdust 2</t>
  </si>
  <si>
    <t>Wood sawdust 3</t>
  </si>
  <si>
    <t>Wood sawdust 4</t>
  </si>
  <si>
    <t>Wood sawdust 5</t>
  </si>
  <si>
    <t>Wood sawdust 6</t>
  </si>
  <si>
    <t>Wood sawdust 7</t>
  </si>
  <si>
    <t>Out-of-use wood from furnitures</t>
  </si>
  <si>
    <t>Black liquor from paper mill</t>
  </si>
  <si>
    <t>Black liquor from paper mill 1</t>
  </si>
  <si>
    <t>Black liquor from paper mill 2</t>
  </si>
  <si>
    <t>Black liquor from paper mill 3</t>
  </si>
  <si>
    <t>Black liquor from paper mill 4</t>
  </si>
  <si>
    <t>Black liquor from paper mill 5</t>
  </si>
  <si>
    <t>Municipal waste</t>
  </si>
  <si>
    <t>MSW 1</t>
  </si>
  <si>
    <t>MSW 2</t>
  </si>
  <si>
    <t>MSW 3</t>
  </si>
  <si>
    <t>MSW 4</t>
  </si>
  <si>
    <t>MSW 5</t>
  </si>
  <si>
    <t>MSW 6</t>
  </si>
  <si>
    <t>MSW 7</t>
  </si>
  <si>
    <t>MSW 8</t>
  </si>
  <si>
    <t>OFMSW 1</t>
  </si>
  <si>
    <t>OFMSW 2</t>
  </si>
  <si>
    <t>OFMSW 3</t>
  </si>
  <si>
    <t>OFMSW 4</t>
  </si>
  <si>
    <t>Digestate</t>
  </si>
  <si>
    <t>Digestate 1</t>
  </si>
  <si>
    <t>Digestate 2</t>
  </si>
  <si>
    <t>Digestate 3</t>
  </si>
  <si>
    <t>Digestate 4</t>
  </si>
  <si>
    <t>Digestate 5</t>
  </si>
  <si>
    <t>Digestate 6</t>
  </si>
  <si>
    <t>Digestate 7</t>
  </si>
  <si>
    <t>Digestate 8</t>
  </si>
  <si>
    <t>Other</t>
  </si>
  <si>
    <t>Grass</t>
  </si>
  <si>
    <t>Residues and wastes</t>
  </si>
  <si>
    <t>Bovine dry matter 1</t>
  </si>
  <si>
    <t>Bovine dry matter 2</t>
  </si>
  <si>
    <t>Bovine dry matter 3</t>
  </si>
  <si>
    <t>Bovine dry matter 4</t>
  </si>
  <si>
    <t>Swine manure 1</t>
  </si>
  <si>
    <t>Swine manure 2</t>
  </si>
  <si>
    <t>Swine manure 3</t>
  </si>
  <si>
    <t>Swine manure 4</t>
  </si>
  <si>
    <t>Swine manure 5</t>
  </si>
  <si>
    <t>Swine manure 6</t>
  </si>
  <si>
    <t>Poultry manure 1</t>
  </si>
  <si>
    <t>Poultry manure 2</t>
  </si>
  <si>
    <t>Poultry manure 3</t>
  </si>
  <si>
    <t>Poultry manure 4</t>
  </si>
  <si>
    <t>Poultry manure 5</t>
  </si>
  <si>
    <t>Poultry manure 6</t>
  </si>
  <si>
    <t>Manure from animal production</t>
  </si>
  <si>
    <t>[8] Fast pyrolysis of soybean cake: Product yields and compositions</t>
  </si>
  <si>
    <t>Soybean cake</t>
  </si>
  <si>
    <t>[8]</t>
  </si>
  <si>
    <t>Bio-oil category</t>
  </si>
  <si>
    <t>Bio-oil subcategory</t>
  </si>
  <si>
    <t>[9] Comparison of non-catalytic and catalytic fast pyrolysis of pomegranate and grape marcs under vacuum and inert atmospheres</t>
  </si>
  <si>
    <t>Grape marc</t>
  </si>
  <si>
    <t>Pommegranate marc</t>
  </si>
  <si>
    <t>[9]</t>
  </si>
  <si>
    <t>[10] Characterization of Bio-oil and Bio-char from Pyrolysis
of Palm Oil Wastes</t>
  </si>
  <si>
    <t>Palm shell</t>
  </si>
  <si>
    <t>EFB</t>
  </si>
  <si>
    <t>Mesocarp fiber</t>
  </si>
  <si>
    <t>[10]</t>
  </si>
  <si>
    <t>[11] Pressurized pyrolysis of dried distillers grains with solubles and canola seed press cake in a fixed-bed reactor</t>
  </si>
  <si>
    <t>Canola seed press cake</t>
  </si>
  <si>
    <t>[11]</t>
  </si>
  <si>
    <t>DDGS (1 bar)</t>
  </si>
  <si>
    <t>DDGS (5 bar)</t>
  </si>
  <si>
    <t>DDGS (10 bar)</t>
  </si>
  <si>
    <t>Canola (1 bar)</t>
  </si>
  <si>
    <t>Canola (5 bar)</t>
  </si>
  <si>
    <t>Canola (10 bar)</t>
  </si>
  <si>
    <t>Dried Distillers Grains with soluble (DDGS)</t>
  </si>
  <si>
    <t>[12] Catalytic co-pyrolysis of grape seeds and waste tyres for the production of drop-in biofuels</t>
  </si>
  <si>
    <t>Grape seeds 1</t>
  </si>
  <si>
    <t>Grape seeds 2</t>
  </si>
  <si>
    <t>[12]</t>
  </si>
  <si>
    <t>Grape seeds 3</t>
  </si>
  <si>
    <t>Spain</t>
  </si>
  <si>
    <t>Waste tyres</t>
  </si>
  <si>
    <t>[13] Catalytic conversion of biomass pyrolysis products by mesoporous materials: Effect of steam stability and acidity of Al-MCM-41 catalysts</t>
  </si>
  <si>
    <t>Beech wood Lignocell HBS 150-500</t>
  </si>
  <si>
    <t>[13]</t>
  </si>
  <si>
    <t>[14] Comparative study of in-situ catalytic pyrolysis of rice husk for syngas production: Kinetics modelling and product gas analysis</t>
  </si>
  <si>
    <t>Rice husk 2</t>
  </si>
  <si>
    <t>Rice husk 1</t>
  </si>
  <si>
    <t>[14]</t>
  </si>
  <si>
    <t>[15] Thermogravimetric study of the pyrolysis of biomass residues from tomato processing industry</t>
  </si>
  <si>
    <t>Tomato peels</t>
  </si>
  <si>
    <t>Tomato seeds</t>
  </si>
  <si>
    <t>Tomato peels and seeds</t>
  </si>
  <si>
    <t>[15]</t>
  </si>
  <si>
    <t>[16]</t>
  </si>
  <si>
    <t>MSW 9</t>
  </si>
  <si>
    <t>Willow 1</t>
  </si>
  <si>
    <t>Willow 2</t>
  </si>
  <si>
    <t>Miscanthus 1</t>
  </si>
  <si>
    <t>Miscanthus 2</t>
  </si>
  <si>
    <t>Peat</t>
  </si>
  <si>
    <t>Sweden</t>
  </si>
  <si>
    <t>Poplar 2</t>
  </si>
  <si>
    <t>Poplar 1</t>
  </si>
  <si>
    <t>Fixed carbon</t>
  </si>
  <si>
    <t>Organic Matter / Volatile matter</t>
  </si>
  <si>
    <t>[17] Techno-Economic Evaluation of the Thermochemical Energy
Valorization of Construction Waste and Algae Biomass: A Case
Study for a Biomass Treatment Plant in Northern Greece</t>
  </si>
  <si>
    <t>[17]</t>
  </si>
  <si>
    <t>Mixture of WB, CB and AB</t>
  </si>
  <si>
    <t>WB (Woody biomass (branch, wood, tree trunks, wooden pallets)</t>
  </si>
  <si>
    <t>CB (Construction biomass (plastic, pipes, wires, nylon)</t>
  </si>
  <si>
    <t>AB (Coastal Seaweed)</t>
  </si>
  <si>
    <t>Measurement</t>
  </si>
  <si>
    <t>Calculation</t>
  </si>
  <si>
    <t>Wait to look at this for now</t>
  </si>
  <si>
    <t>30,3-70,2</t>
  </si>
  <si>
    <t>48,3-55,4</t>
  </si>
  <si>
    <t>5,2-7,8</t>
  </si>
  <si>
    <t>0,16-2,06</t>
  </si>
  <si>
    <t>0,14-0,66</t>
  </si>
  <si>
    <t>35,3-44,1</t>
  </si>
  <si>
    <t>19,4-21,7</t>
  </si>
  <si>
    <t>0,4-2,2</t>
  </si>
  <si>
    <t>79,4-85,7</t>
  </si>
  <si>
    <t>14-18,7</t>
  </si>
  <si>
    <t>46,5-48,6</t>
  </si>
  <si>
    <t>6,7-6,9</t>
  </si>
  <si>
    <t>0,03-0,86</t>
  </si>
  <si>
    <t>0,13-0,74</t>
  </si>
  <si>
    <t>42,1-46,4</t>
  </si>
  <si>
    <t>Branches and leaves from pine tree 1</t>
  </si>
  <si>
    <t>Branches and leaves from pine tree 2</t>
  </si>
  <si>
    <t>Branches and leaves from pine tree 3</t>
  </si>
  <si>
    <t>Branches and leaves from pine tree 4</t>
  </si>
  <si>
    <t>Branches and leaves from pine tree 5</t>
  </si>
  <si>
    <t>Branches and leaves from pine tree 6</t>
  </si>
  <si>
    <t>10,4-51,4</t>
  </si>
  <si>
    <t>17,1-29,9</t>
  </si>
  <si>
    <t>40,7-44,3</t>
  </si>
  <si>
    <t>1.8-2,7</t>
  </si>
  <si>
    <t>0,20-0,29</t>
  </si>
  <si>
    <t>0,62-1,14</t>
  </si>
  <si>
    <t>80,9-83,8</t>
  </si>
  <si>
    <t>15,6-18,1</t>
  </si>
  <si>
    <t>19,4-19,9</t>
  </si>
  <si>
    <t>49,3-50,5</t>
  </si>
  <si>
    <t>6,0-6,1</t>
  </si>
  <si>
    <t>41,8-43,5</t>
  </si>
  <si>
    <t>0,33-0,77</t>
  </si>
  <si>
    <t>0,01-0,03</t>
  </si>
  <si>
    <t>18,38-18,4</t>
  </si>
  <si>
    <t>6,0-6,5</t>
  </si>
  <si>
    <t>76,0-76,9</t>
  </si>
  <si>
    <t>15,3-15,4</t>
  </si>
  <si>
    <t>1,70-2,18</t>
  </si>
  <si>
    <t>45,1-45,7</t>
  </si>
  <si>
    <t>47,7-48,3</t>
  </si>
  <si>
    <t>0,11-0,15</t>
  </si>
  <si>
    <t>0,14-0,16</t>
  </si>
  <si>
    <t>12,7-13,9</t>
  </si>
  <si>
    <t>21,7-22,3</t>
  </si>
  <si>
    <t>77,6-78,0</t>
  </si>
  <si>
    <t>18,6-20,1</t>
  </si>
  <si>
    <t>1,9-3,8</t>
  </si>
  <si>
    <t>53,2-53,5</t>
  </si>
  <si>
    <t>8,9-9,2</t>
  </si>
  <si>
    <t>36,3-37,3</t>
  </si>
  <si>
    <t>0,6-1</t>
  </si>
  <si>
    <t>19,5-25,46</t>
  </si>
  <si>
    <t>5,5-10</t>
  </si>
  <si>
    <t>43,2-80,2</t>
  </si>
  <si>
    <t>9,9-44,3</t>
  </si>
  <si>
    <t>2,6-9</t>
  </si>
  <si>
    <t>46,8-54,9</t>
  </si>
  <si>
    <t>5,7-8,2</t>
  </si>
  <si>
    <t>33,6-46,2</t>
  </si>
  <si>
    <t>0,7-2,2</t>
  </si>
  <si>
    <t>0-0,3</t>
  </si>
  <si>
    <t>20,61-23,39</t>
  </si>
  <si>
    <t>77,8-80,9</t>
  </si>
  <si>
    <t>15,3-18,5</t>
  </si>
  <si>
    <t>0,56-5,60</t>
  </si>
  <si>
    <t>52,3-55,2</t>
  </si>
  <si>
    <t>7,5-8,2</t>
  </si>
  <si>
    <t>34-40,1</t>
  </si>
  <si>
    <t>0,06-2,22</t>
  </si>
  <si>
    <t>18,5-22,6</t>
  </si>
  <si>
    <t>41,2-42,3</t>
  </si>
  <si>
    <t>5,4-5,5</t>
  </si>
  <si>
    <t>28,9-32,3</t>
  </si>
  <si>
    <t>1,2-1,3</t>
  </si>
  <si>
    <t>0,18-0,23</t>
  </si>
  <si>
    <t>13,4-17</t>
  </si>
  <si>
    <t>78,4-85,1</t>
  </si>
  <si>
    <t>14,9-21,6</t>
  </si>
  <si>
    <t>15,7-35,8</t>
  </si>
  <si>
    <t>34,3-42,6</t>
  </si>
  <si>
    <t>23,9-34,3</t>
  </si>
  <si>
    <t>1,9-2,1</t>
  </si>
  <si>
    <t>0,2-0,4</t>
  </si>
  <si>
    <t>14,9-17,8</t>
  </si>
  <si>
    <t>36,2-70,2</t>
  </si>
  <si>
    <t>2,1-13,8</t>
  </si>
  <si>
    <t>16-55,5</t>
  </si>
  <si>
    <t>24,1-44,1</t>
  </si>
  <si>
    <t>1,7-5,1</t>
  </si>
  <si>
    <t>16,4-31,3</t>
  </si>
  <si>
    <t>1,5-3,2</t>
  </si>
  <si>
    <t>0,2-1,5</t>
  </si>
  <si>
    <t>2,5 – 2,9</t>
  </si>
  <si>
    <t>23,1-38,8</t>
  </si>
  <si>
    <t>35,5-43,1</t>
  </si>
  <si>
    <t>3,8-6,3</t>
  </si>
  <si>
    <t>0,80-0,86</t>
  </si>
  <si>
    <t>4,0-5,0</t>
  </si>
  <si>
    <t>23,3-44,6</t>
  </si>
  <si>
    <t>30,0-44,5</t>
  </si>
  <si>
    <t>3,6-4,3</t>
  </si>
  <si>
    <t>0,63-1,60</t>
  </si>
  <si>
    <t>2,2-2,3</t>
  </si>
  <si>
    <t>30,5-35,1</t>
  </si>
  <si>
    <t>6,9- 8,6</t>
  </si>
  <si>
    <t>58,9-60,2</t>
  </si>
  <si>
    <t>7,2-7,7</t>
  </si>
  <si>
    <t>25,2-26,4</t>
  </si>
  <si>
    <t>54,3-58,4</t>
  </si>
  <si>
    <t>7,5-7,9</t>
  </si>
  <si>
    <t>26,8-31,5</t>
  </si>
  <si>
    <t>4,3-5,1</t>
  </si>
  <si>
    <t>1,7-1,9</t>
  </si>
  <si>
    <t>11,55-14,58</t>
  </si>
  <si>
    <t>11,55-14,59</t>
  </si>
  <si>
    <t>8,58-16,5</t>
  </si>
  <si>
    <t>12,8-62,5</t>
  </si>
  <si>
    <t>26,6-64,4</t>
  </si>
  <si>
    <t>10,6-15,4</t>
  </si>
  <si>
    <t>14,8-36,0</t>
  </si>
  <si>
    <t>1,9-2,4</t>
  </si>
  <si>
    <t>18,1-70,9</t>
  </si>
  <si>
    <t>50,4-69,9</t>
  </si>
  <si>
    <t>5,2-18,1</t>
  </si>
  <si>
    <t>12,0-44,4</t>
  </si>
  <si>
    <t>21,9-42,9</t>
  </si>
  <si>
    <t>2,5-5,6</t>
  </si>
  <si>
    <t>29,2-34,1</t>
  </si>
  <si>
    <t>1,7-5,5</t>
  </si>
  <si>
    <t>0,28-0,68</t>
  </si>
  <si>
    <t>Olive oil</t>
  </si>
  <si>
    <t>Cotton stalk 2</t>
  </si>
  <si>
    <t>Grape seed (catalytic pyrolysis)</t>
  </si>
  <si>
    <t>Grape seed (conventional</t>
  </si>
  <si>
    <t>Palm shell (bottom layer)</t>
  </si>
  <si>
    <t>EFB (bottom layer)</t>
  </si>
  <si>
    <t>Mesocarp fiber (bottom layer)</t>
  </si>
  <si>
    <t>Palm shell (upper layer)</t>
  </si>
  <si>
    <t>EFB (upper layer)</t>
  </si>
  <si>
    <t>Mesocarp fiber (upper layer)</t>
  </si>
  <si>
    <t>Malaysia</t>
  </si>
  <si>
    <t>Turkey</t>
  </si>
  <si>
    <t>Pommegranate 1 (W/O catalyst)</t>
  </si>
  <si>
    <t>Pommegranate 2 (w. catalyst)</t>
  </si>
  <si>
    <t>Grape marc 1 (w/o catalyst)</t>
  </si>
  <si>
    <t>Grape marc 2 (w. catalyst)</t>
  </si>
  <si>
    <t>From ref [4]</t>
  </si>
  <si>
    <t>[16] ADVANCES IN THERMOCHEMICAL BIOMASS CONVERSION</t>
  </si>
  <si>
    <t>Peat A</t>
  </si>
  <si>
    <t>Peat B</t>
  </si>
  <si>
    <t>Finland</t>
  </si>
  <si>
    <t>Sugarcane leaves</t>
  </si>
  <si>
    <t>4,0-33</t>
  </si>
  <si>
    <t>16-17,6</t>
  </si>
  <si>
    <t>India</t>
  </si>
  <si>
    <t>Willow 3</t>
  </si>
  <si>
    <t>Bagasse 1</t>
  </si>
  <si>
    <t>Bagasse 2</t>
  </si>
  <si>
    <t>Bagasse 3</t>
  </si>
  <si>
    <t>8,4-8,54</t>
  </si>
  <si>
    <t>69,39-70,38</t>
  </si>
  <si>
    <t>12,56-15,18</t>
  </si>
  <si>
    <t>5,9-9,65</t>
  </si>
  <si>
    <t>41,12-43,14</t>
  </si>
  <si>
    <t>5,27-6,05</t>
  </si>
  <si>
    <t>34,54-35,53</t>
  </si>
  <si>
    <t>0,76-0,97</t>
  </si>
  <si>
    <t>0,05-0,08</t>
  </si>
  <si>
    <t>USA</t>
  </si>
  <si>
    <t>USA (Hawaii)</t>
  </si>
  <si>
    <t>Wood chips 2</t>
  </si>
  <si>
    <t xml:space="preserve">Wood chips 1 </t>
  </si>
  <si>
    <t>Kraft Black liquour</t>
  </si>
  <si>
    <t>Pine wood 1</t>
  </si>
  <si>
    <t>Sawdust Salix</t>
  </si>
  <si>
    <t>Fir wood 1</t>
  </si>
  <si>
    <t>Fir wood 2</t>
  </si>
  <si>
    <t>Poplar 3</t>
  </si>
  <si>
    <t>Organocell-lignin</t>
  </si>
  <si>
    <t>Germany</t>
  </si>
  <si>
    <t>Wheat straw 11</t>
  </si>
  <si>
    <t>Olive kernels</t>
  </si>
  <si>
    <t>wood waste</t>
  </si>
  <si>
    <t>Rice husks 1</t>
  </si>
  <si>
    <t>Rice husks 2</t>
  </si>
  <si>
    <t>Wood sawdust 8</t>
  </si>
  <si>
    <t>Indonesia</t>
  </si>
  <si>
    <t>Mix hardwood (90% birch, 10% aspen)</t>
  </si>
  <si>
    <t>[18] Fast pyrolysis processes for biomass</t>
  </si>
  <si>
    <t>Mix of softwood and hardwood</t>
  </si>
  <si>
    <t>[18]</t>
  </si>
  <si>
    <t>Fir</t>
  </si>
  <si>
    <t>Netherlands (maybe China)</t>
  </si>
  <si>
    <t>Ensyn range</t>
  </si>
  <si>
    <t>55,3-63,5</t>
  </si>
  <si>
    <t>5,2-7</t>
  </si>
  <si>
    <t>39,43-28,98</t>
  </si>
  <si>
    <t>0,07-0,39</t>
  </si>
  <si>
    <t>0,00-0,05</t>
  </si>
  <si>
    <t>22,1-24,3</t>
  </si>
  <si>
    <t>GTRI</t>
  </si>
  <si>
    <t>Poplar (NREL drybasis)</t>
  </si>
  <si>
    <t>Poplar (NREL wet basis)</t>
  </si>
  <si>
    <t>Fir/spruce (ENEL)</t>
  </si>
  <si>
    <t>Sewage sludge, agricultural wastes and MSW</t>
  </si>
  <si>
    <t>Brockville poplar (Waterloo)</t>
  </si>
  <si>
    <t>White spruce (Waterloo)</t>
  </si>
  <si>
    <t>Red Maple (Waterloo)</t>
  </si>
  <si>
    <t>Typical Wood values</t>
  </si>
  <si>
    <t>16-19</t>
  </si>
  <si>
    <t>Sugarcane bagasse 2</t>
  </si>
  <si>
    <t>Sugarcane bagasse 1</t>
  </si>
  <si>
    <t>[19] Simulation of the Pyrolysis of Biomass Based on Ultimate and Proximate Characterizations</t>
  </si>
  <si>
    <t>Raw tobacco 1</t>
  </si>
  <si>
    <t>Raw tobacco 2</t>
  </si>
  <si>
    <t>Raw tobacco 3</t>
  </si>
  <si>
    <t>[20]</t>
  </si>
  <si>
    <t>[20] Production and characterization of bio-oils
from fast pyrolysis of tobacco processing
wastes in an ablative reactor under vacuum</t>
  </si>
  <si>
    <t>Raw tobacco</t>
  </si>
  <si>
    <t>Thailand</t>
  </si>
  <si>
    <t>[21] Correlation for estimation of the chemical availability (exergy)from ultimate analysis of pyrolytic oils obtained from fast pyrolysisof biomass</t>
  </si>
  <si>
    <t>[19]</t>
  </si>
  <si>
    <t>Chestnut cupulae</t>
  </si>
  <si>
    <t>Maple fruit</t>
  </si>
  <si>
    <t>[21]</t>
  </si>
  <si>
    <t>[22] Fast pyrolysis from Napier grass for pyrolysis oil production by using circulating Fluidized Bed Reactor: Improvement of pyrolysis system and production cost</t>
  </si>
  <si>
    <t>Napier grass</t>
  </si>
  <si>
    <t>[22]</t>
  </si>
  <si>
    <t>[23] Pyrolytic oil from biomass, plastics, and tires: Production, properties, and tailored upgrading strategies for sustainable application</t>
  </si>
  <si>
    <t>Poplar 4</t>
  </si>
  <si>
    <t>Pine wood 2</t>
  </si>
  <si>
    <t>Larch bark</t>
  </si>
  <si>
    <t>Mallee leave</t>
  </si>
  <si>
    <t>Rice straw</t>
  </si>
  <si>
    <t>Coconut shell</t>
  </si>
  <si>
    <t>Corn stover</t>
  </si>
  <si>
    <t>Switch grass 2</t>
  </si>
  <si>
    <t>Switch grass 1</t>
  </si>
  <si>
    <t>[23]</t>
  </si>
  <si>
    <t>Algae</t>
  </si>
  <si>
    <t>Poplar</t>
  </si>
  <si>
    <t>Pine</t>
  </si>
  <si>
    <t>Switch grass</t>
  </si>
  <si>
    <t>Thorny bamboo</t>
  </si>
  <si>
    <t>[24] An overview of the chemical composition of biomass</t>
  </si>
  <si>
    <t>Alder-fir sawdust (as measured)</t>
  </si>
  <si>
    <t>Alder-fir sawdust (dry basis)</t>
  </si>
  <si>
    <t>[24]</t>
  </si>
  <si>
    <t>Balsam bark (as measured)</t>
  </si>
  <si>
    <t>Beech bark (as measured)</t>
  </si>
  <si>
    <t>Beech bark (dry basis)</t>
  </si>
  <si>
    <t>Birch bark (as measured)</t>
  </si>
  <si>
    <t>Balsam bark (dry basis)</t>
  </si>
  <si>
    <t>Birch bark (dry basis)</t>
  </si>
  <si>
    <t>Elm bark (as measured)</t>
  </si>
  <si>
    <t>Elm bark (dry basis)</t>
  </si>
  <si>
    <t>Eucalyptus bark (as measured)</t>
  </si>
  <si>
    <t>Eucalyptus bark (dry basis)</t>
  </si>
  <si>
    <t>Hemlock bark (as measured)</t>
  </si>
  <si>
    <t>Hemlock bark (dry basis)</t>
  </si>
  <si>
    <t>Maple bark (as measured)</t>
  </si>
  <si>
    <t>Maple bark (dry basis)</t>
  </si>
  <si>
    <t>Pine bark (as measured)</t>
  </si>
  <si>
    <t>Pine bark (dry basis)</t>
  </si>
  <si>
    <t>Poplar bark (as measured)</t>
  </si>
  <si>
    <t>Poplar bark (dry basis)</t>
  </si>
  <si>
    <t>Spruce bark (as measured)</t>
  </si>
  <si>
    <t>Spruce bark (dry basis)</t>
  </si>
  <si>
    <t>Tamarack bark (as measured)</t>
  </si>
  <si>
    <t>Tamarack bark (dry basis)</t>
  </si>
  <si>
    <t>Christmas tree (as measured)</t>
  </si>
  <si>
    <t>Christmas tree (dry basis)</t>
  </si>
  <si>
    <t>Fir mill residue (as measured)</t>
  </si>
  <si>
    <t>Forest residue (as measured)</t>
  </si>
  <si>
    <t>Fir mill residue (dry basis)</t>
  </si>
  <si>
    <t>Forest residue (dry basis)</t>
  </si>
  <si>
    <t>Land clearing wood (as measured)</t>
  </si>
  <si>
    <t>Land clearing wood (dry basis)</t>
  </si>
  <si>
    <t>Oak sawdust (as measured)</t>
  </si>
  <si>
    <t>Oak sawdust (dry basis)</t>
  </si>
  <si>
    <t>Oak wood (as measured)</t>
  </si>
  <si>
    <t>Oak wood (dry basis)</t>
  </si>
  <si>
    <t>Olive wood (as measured)</t>
  </si>
  <si>
    <t>Olive wood (dry basis)</t>
  </si>
  <si>
    <t>Pine chips (as measured)</t>
  </si>
  <si>
    <t>Pine chips (dry basis)</t>
  </si>
  <si>
    <t>Pine pruning (as measured)</t>
  </si>
  <si>
    <t>Pine pruning (dry basis)</t>
  </si>
  <si>
    <t>Pine sawdust (as measured)</t>
  </si>
  <si>
    <t>Pine sawdust (dry basis)</t>
  </si>
  <si>
    <t>Poplar (as measured)</t>
  </si>
  <si>
    <t>poplar (dry basis</t>
  </si>
  <si>
    <t>[24[</t>
  </si>
  <si>
    <t>Sawdust (as measured)</t>
  </si>
  <si>
    <t>Sawdust (dry basis)</t>
  </si>
  <si>
    <t>Spruce wood (as measured)</t>
  </si>
  <si>
    <t>Spruce wood (dry basis)</t>
  </si>
  <si>
    <t>Willow (as measured)</t>
  </si>
  <si>
    <t>Willow (dry basis)</t>
  </si>
  <si>
    <t>Wood (as measured)</t>
  </si>
  <si>
    <t>Wood (dry basis)</t>
  </si>
  <si>
    <t>Wood residue (as measured)</t>
  </si>
  <si>
    <t>Wood residue (dry basis)</t>
  </si>
  <si>
    <t>Arundo (as measured)</t>
  </si>
  <si>
    <t>Arundo (dry basis)</t>
  </si>
  <si>
    <t>Bamboo whole (as measured)</t>
  </si>
  <si>
    <t>Bamboo whole (dry basis)</t>
  </si>
  <si>
    <t>Bana grass (as measured)</t>
  </si>
  <si>
    <t>Bana grass (dry basis)</t>
  </si>
  <si>
    <t>Buffalo gourd grass (as measured)</t>
  </si>
  <si>
    <t>Buffalo gourd grass (dry basis)</t>
  </si>
  <si>
    <t>Kenaf grass (as measured)</t>
  </si>
  <si>
    <t>Kenaf grass (dry basis)</t>
  </si>
  <si>
    <t>Miscanthus (as measured)</t>
  </si>
  <si>
    <t>Miscanthus (dry basis)</t>
  </si>
  <si>
    <t>Reed canary grass (as measured)</t>
  </si>
  <si>
    <t>Reed canary grass (dry basis)</t>
  </si>
  <si>
    <t>Switchgrass (as measured)</t>
  </si>
  <si>
    <t>Switchgrass (dry basis)</t>
  </si>
  <si>
    <t>Sorghastrum grass (as measured)</t>
  </si>
  <si>
    <t>Sorghastrum grass (dry basis)</t>
  </si>
  <si>
    <t>Sweet sorghum (as measured)</t>
  </si>
  <si>
    <t>Sweet sorghum (dry basis)</t>
  </si>
  <si>
    <t>Corn straw (as measured)</t>
  </si>
  <si>
    <t>Corn straw (dry basis)</t>
  </si>
  <si>
    <t>Barley straw (dry basis)</t>
  </si>
  <si>
    <t>Barley straw (as measured)</t>
  </si>
  <si>
    <t>Alfalfa straw (dry basis)</t>
  </si>
  <si>
    <t>Alfalfa straw (as measured)</t>
  </si>
  <si>
    <t>Mint straw (as measured)</t>
  </si>
  <si>
    <t>Oat straw (as measured)</t>
  </si>
  <si>
    <t>Rape straw (as measured)</t>
  </si>
  <si>
    <t>Rice straw (as measured)</t>
  </si>
  <si>
    <t>Straw (as measured)</t>
  </si>
  <si>
    <t>Wheat straw (as measured)</t>
  </si>
  <si>
    <t>Wheat straw (dry basis)</t>
  </si>
  <si>
    <t>Straw (dry basis)</t>
  </si>
  <si>
    <t>Rice straw (dry basis)</t>
  </si>
  <si>
    <t>Rape straw (dry basis)</t>
  </si>
  <si>
    <t>Oat straw (dry basis)</t>
  </si>
  <si>
    <t>Mint straw (dry basis)</t>
  </si>
  <si>
    <t>Almond hulls (as measured)</t>
  </si>
  <si>
    <t>Almond shells (as measured)</t>
  </si>
  <si>
    <t>Almond hulls (dry basis)</t>
  </si>
  <si>
    <t>Almond shells (dry basis)</t>
  </si>
  <si>
    <t>coconut shells (as measured)</t>
  </si>
  <si>
    <t>coconut shells (dry basis)</t>
  </si>
  <si>
    <t>coffee husks (as measured)</t>
  </si>
  <si>
    <t>Cotton husks (as measured)</t>
  </si>
  <si>
    <t>Mustard husks (as measured)</t>
  </si>
  <si>
    <t>Olive husks (as measured)</t>
  </si>
  <si>
    <t>Soya husks (as measured)</t>
  </si>
  <si>
    <t>Rice husks (as measured)</t>
  </si>
  <si>
    <t>Rice husks (dry basis)</t>
  </si>
  <si>
    <t>Sunflower husks (as measured)</t>
  </si>
  <si>
    <t>Sunflower husks (dry basis)</t>
  </si>
  <si>
    <t>Soya husks (dry basis)</t>
  </si>
  <si>
    <t>Olive husks (dry basis)</t>
  </si>
  <si>
    <t>Mustard husks (dry basis)</t>
  </si>
  <si>
    <t>Cotton husks (dry basis)</t>
  </si>
  <si>
    <t>coffee husks (dry basis)</t>
  </si>
  <si>
    <t>Grape marc (as measured)</t>
  </si>
  <si>
    <t>Grape marc (dry basis)</t>
  </si>
  <si>
    <t>Groundnut shells (as measured)</t>
  </si>
  <si>
    <t>Groundnut shells (dry basis)</t>
  </si>
  <si>
    <t>Hazelnut shells (as measured)</t>
  </si>
  <si>
    <t>Hazelnut shells (dry basis)</t>
  </si>
  <si>
    <t>Olive pits (as measured)</t>
  </si>
  <si>
    <t>Olive pits (dry basis)</t>
  </si>
  <si>
    <t>Olive residue (as measured)</t>
  </si>
  <si>
    <t>olive residue (dry basis)</t>
  </si>
  <si>
    <t>Palm fibres-husks (as measured)</t>
  </si>
  <si>
    <t>Palm fibres-husks (dry basis)</t>
  </si>
  <si>
    <t>Palm kernels (as measured)</t>
  </si>
  <si>
    <t>palm kernels (dry basis)</t>
  </si>
  <si>
    <t>Pepper plant (as measured)</t>
  </si>
  <si>
    <t>Pepper plant (dry basis)</t>
  </si>
  <si>
    <t>Pepper residue (as measured)</t>
  </si>
  <si>
    <t>Pepper residue (dry basis)</t>
  </si>
  <si>
    <t>Pistachio shells (as measured)</t>
  </si>
  <si>
    <t>Pistachio shells (dry basis)</t>
  </si>
  <si>
    <t>Plum pits (as measured)</t>
  </si>
  <si>
    <t>Plum pits (dry basis)</t>
  </si>
  <si>
    <t>Sugarcane bagasse (dry basis)</t>
  </si>
  <si>
    <t>Walnut blows (as measured)</t>
  </si>
  <si>
    <t>Walnut blows (dry basis)</t>
  </si>
  <si>
    <t>Walnut hulls and blows (as measured)</t>
  </si>
  <si>
    <t>Walnut hulls and blows (dry basis)</t>
  </si>
  <si>
    <t>Walnut shells (as measured)</t>
  </si>
  <si>
    <t>Walnut shells (dry basis)</t>
  </si>
  <si>
    <t>Chicken litter (as measured)</t>
  </si>
  <si>
    <t>Chicken litter (dry basis)</t>
  </si>
  <si>
    <t>Meat-bone meal (as measured)</t>
  </si>
  <si>
    <t>Meat-bone meal (dry basis)</t>
  </si>
  <si>
    <t>Biomass mixture (as measured)</t>
  </si>
  <si>
    <t>Biomass mixture (dry basis)</t>
  </si>
  <si>
    <t>Wood-agricultural residue (as measured)</t>
  </si>
  <si>
    <t>Wood-agricultural residue (dry basis)</t>
  </si>
  <si>
    <t>Wood-almond residue (as measured)</t>
  </si>
  <si>
    <t>Wood-almond residue (dry basis)</t>
  </si>
  <si>
    <t>Wood-straw residue (as measured)</t>
  </si>
  <si>
    <t>Wood-straw residue (dry basis)</t>
  </si>
  <si>
    <t>Currency shredded (as measured)</t>
  </si>
  <si>
    <t>Currency shredded (dry basis)</t>
  </si>
  <si>
    <t>demolition wood (as measured)</t>
  </si>
  <si>
    <t>demolition wood (dry basis)</t>
  </si>
  <si>
    <t>Furniture waste (as measured)</t>
  </si>
  <si>
    <t>Mixed waste paper (as measured)</t>
  </si>
  <si>
    <t>Greenhouse-plastic waste (as measured)</t>
  </si>
  <si>
    <t>Refuse-derived fuel (as measured)</t>
  </si>
  <si>
    <t>Furniture waste (dry basis)</t>
  </si>
  <si>
    <t>Mixed waste paper (dry basis)</t>
  </si>
  <si>
    <t>Greenhouse-plastic waste (dry basis)</t>
  </si>
  <si>
    <t>Refuse-derived fuel (dry basis)</t>
  </si>
  <si>
    <t>Sewage sludge (as measured)</t>
  </si>
  <si>
    <t>Sewage sludge (dry basis)</t>
  </si>
  <si>
    <t>Wood yard waste (as measured)</t>
  </si>
  <si>
    <t>Wood yard waste (dry basis)</t>
  </si>
  <si>
    <t>Marine macroalgae (as measured)</t>
  </si>
  <si>
    <t>Marine macroalgae (dry basis)</t>
  </si>
  <si>
    <t>Peat (as measured)</t>
  </si>
  <si>
    <t>Peat (dry basis)</t>
  </si>
  <si>
    <t>Coal (as measured)</t>
  </si>
  <si>
    <t>Coal (dry basis)</t>
  </si>
  <si>
    <t>Coal minimum (as measured)</t>
  </si>
  <si>
    <t>Coal minimum (dry basis)</t>
  </si>
  <si>
    <t>Coal maximum (as measured)</t>
  </si>
  <si>
    <t>Coal maximum (dry basis)</t>
  </si>
  <si>
    <t>Lignite (as measured)</t>
  </si>
  <si>
    <t>Lignite (dry basis</t>
  </si>
  <si>
    <t>Sub-bituminous coal (as measured)</t>
  </si>
  <si>
    <t>Sub-bituminous coal (dry basis)</t>
  </si>
  <si>
    <t>Bituminous coal (as measured)</t>
  </si>
  <si>
    <t>Bituminous coal (dry basis)</t>
  </si>
  <si>
    <t>All varieties of biomass mean (as measured)</t>
  </si>
  <si>
    <t>Natural biomass mean (as measured)</t>
  </si>
  <si>
    <t>All varieties of biomass max. (as measured)</t>
  </si>
  <si>
    <t>All varieties of biomass mean (dry basis)</t>
  </si>
  <si>
    <t>All varieties of biomass max. (dry basis)</t>
  </si>
  <si>
    <t>All varieties of biomass min. (dry basis)</t>
  </si>
  <si>
    <t>All varieties of biomass min. (as measured)</t>
  </si>
  <si>
    <t>Natural biomass min. (as measured)</t>
  </si>
  <si>
    <t>Natural biomass max (as measured)</t>
  </si>
  <si>
    <t>Natural biomass mean (dry basis)</t>
  </si>
  <si>
    <t>Natural biomass min. (dry basis)</t>
  </si>
  <si>
    <t>Natural biomass max (dry basis)</t>
  </si>
  <si>
    <t>[25] DEVELOPMENTS IN THERMOCHEMICAL BIOMASS CONVERSION</t>
  </si>
  <si>
    <t>[25]</t>
  </si>
  <si>
    <t>Poplar mix (M2-6)</t>
  </si>
  <si>
    <t>Poplar mix (M2-7)</t>
  </si>
  <si>
    <t>Poplar mix (M2-8)</t>
  </si>
  <si>
    <t>Poplar mix (M2-9)</t>
  </si>
  <si>
    <t>Poplar mix (M2-10)</t>
  </si>
  <si>
    <t>Poplar mix</t>
  </si>
  <si>
    <t>Poplar mix (NREL 160)</t>
  </si>
  <si>
    <t>Poplar mix (NREL 174)</t>
  </si>
  <si>
    <t>Poplar mix (NREL 175)</t>
  </si>
  <si>
    <t>Barley straw</t>
  </si>
  <si>
    <t>[26] Mathematical models for predicting the higher heating value and ultimate</t>
  </si>
  <si>
    <t>[26]</t>
  </si>
  <si>
    <t>Coir pith</t>
  </si>
  <si>
    <t>Corn cob 1</t>
  </si>
  <si>
    <t>Corn cob 2</t>
  </si>
  <si>
    <t>Corn cob 3</t>
  </si>
  <si>
    <t>Corn cob 4</t>
  </si>
  <si>
    <t>Corn cob 5</t>
  </si>
  <si>
    <t>China</t>
  </si>
  <si>
    <t>Ghana</t>
  </si>
  <si>
    <t>Corn stalk 1</t>
  </si>
  <si>
    <t>Corn stalk 2</t>
  </si>
  <si>
    <t>Corn stalk 3</t>
  </si>
  <si>
    <t>Corn stover 1</t>
  </si>
  <si>
    <t>Corn stover 2</t>
  </si>
  <si>
    <t>Corn stover 3</t>
  </si>
  <si>
    <t>Corn straw</t>
  </si>
  <si>
    <t>South Africa</t>
  </si>
  <si>
    <t>Pakistan</t>
  </si>
  <si>
    <t>Cotton stem</t>
  </si>
  <si>
    <t>Flaw straw</t>
  </si>
  <si>
    <t>Sorghum stalk</t>
  </si>
  <si>
    <t>Soybean cake 1</t>
  </si>
  <si>
    <t>Soybean cake 2</t>
  </si>
  <si>
    <t>Sugarcane straw</t>
  </si>
  <si>
    <t>Brazil</t>
  </si>
  <si>
    <t>Sugarcane bagasse 4</t>
  </si>
  <si>
    <t>Sugarcane bagasse 5</t>
  </si>
  <si>
    <t>Sugarcane bagasse 6</t>
  </si>
  <si>
    <t>Sugarcane bagasse 7</t>
  </si>
  <si>
    <t>Sugarcane bagasse 8</t>
  </si>
  <si>
    <t>Sugarcane bagasse 9</t>
  </si>
  <si>
    <t>Sugarcane bagasse 10</t>
  </si>
  <si>
    <t>Sugarcane bagasse 11</t>
  </si>
  <si>
    <t>Sugarcane bagasse 12</t>
  </si>
  <si>
    <t>Sugarcane bagasse 13</t>
  </si>
  <si>
    <t>Sugarcane bagasse 14</t>
  </si>
  <si>
    <t>Sugarcane bagasse 15</t>
  </si>
  <si>
    <t>Sugarcane bagasse (as measured)</t>
  </si>
  <si>
    <t>Sugarcane bagasse 3</t>
  </si>
  <si>
    <t>Barbados</t>
  </si>
  <si>
    <t>Bangladesh</t>
  </si>
  <si>
    <t>Ecuador</t>
  </si>
  <si>
    <t>Sugarcane bagasse 16</t>
  </si>
  <si>
    <t>Sugarcane bagasse 17</t>
  </si>
  <si>
    <t>Nigeria</t>
  </si>
  <si>
    <t>Taiwan</t>
  </si>
  <si>
    <t>Sweet sorghum bagasse</t>
  </si>
  <si>
    <t>Rice hulls 1</t>
  </si>
  <si>
    <t>Rice hulls 2</t>
  </si>
  <si>
    <t>Rice husk 3</t>
  </si>
  <si>
    <t>Rice husk 4</t>
  </si>
  <si>
    <t>Rice shell</t>
  </si>
  <si>
    <t>Rice straw 2</t>
  </si>
  <si>
    <t>Rice straw 3</t>
  </si>
  <si>
    <t>Rice straw 4</t>
  </si>
  <si>
    <t>Rice straw 5</t>
  </si>
  <si>
    <t>Rice straw 1</t>
  </si>
  <si>
    <t>Korea</t>
  </si>
  <si>
    <t>Rice straw 6</t>
  </si>
  <si>
    <t>Cotton stalk 1</t>
  </si>
  <si>
    <t>Wheat stalk</t>
  </si>
  <si>
    <t>Wheat straw 12</t>
  </si>
  <si>
    <t>Wheat straw 13</t>
  </si>
  <si>
    <t>Wheat straw 14</t>
  </si>
  <si>
    <t>Wheat straw 15</t>
  </si>
  <si>
    <t>Wheat straw 16</t>
  </si>
  <si>
    <t>Almond hulls 1</t>
  </si>
  <si>
    <t>Almond hulls 2</t>
  </si>
  <si>
    <t>Almond shells 1</t>
  </si>
  <si>
    <t>Almond shells 2</t>
  </si>
  <si>
    <t>Coconut shell 1</t>
  </si>
  <si>
    <t>Coconut shell 2</t>
  </si>
  <si>
    <t>Coconut shell 3</t>
  </si>
  <si>
    <t>Coconut shell 4</t>
  </si>
  <si>
    <t>Cocoapod</t>
  </si>
  <si>
    <t>Coconutcoir</t>
  </si>
  <si>
    <t>Coconutfiber</t>
  </si>
  <si>
    <t>Singapore</t>
  </si>
  <si>
    <t>Mozambique</t>
  </si>
  <si>
    <t>Grapepomace</t>
  </si>
  <si>
    <t>Groundnut shells 1</t>
  </si>
  <si>
    <t>Hazelnutseed coat</t>
  </si>
  <si>
    <t>Hazelnut shell 1</t>
  </si>
  <si>
    <t>Hazelnut shell 2</t>
  </si>
  <si>
    <t>Macadamia shells</t>
  </si>
  <si>
    <t>parinari fruit shell</t>
  </si>
  <si>
    <t>peanut hulls</t>
  </si>
  <si>
    <t>peanut shell 2</t>
  </si>
  <si>
    <t>peanut shell 1</t>
  </si>
  <si>
    <t>peach pits</t>
  </si>
  <si>
    <t>pist shells</t>
  </si>
  <si>
    <t>pistachio shells</t>
  </si>
  <si>
    <t>prune pits</t>
  </si>
  <si>
    <t>Sunflower stalk 4</t>
  </si>
  <si>
    <t>Walnut shell 1</t>
  </si>
  <si>
    <t xml:space="preserve">Ailanthuswood </t>
  </si>
  <si>
    <t>Calorific Value</t>
  </si>
  <si>
    <t>Reference</t>
  </si>
  <si>
    <t>Beechwood 1</t>
  </si>
  <si>
    <t>Hardwood</t>
  </si>
  <si>
    <t>Casuarina</t>
  </si>
  <si>
    <t>Carrails</t>
  </si>
  <si>
    <t>Demolwood</t>
  </si>
  <si>
    <t>Eucalyptusglobulus</t>
  </si>
  <si>
    <t>Hemlock</t>
  </si>
  <si>
    <t>Hybrid poplar</t>
  </si>
  <si>
    <t>Pine wood 3</t>
  </si>
  <si>
    <t>Pine wood 4</t>
  </si>
  <si>
    <t>Pine wood 5</t>
  </si>
  <si>
    <t>Rape stalk 1</t>
  </si>
  <si>
    <t>Rape stalk 2</t>
  </si>
  <si>
    <t>Softwood 1</t>
  </si>
  <si>
    <t>Softwood 2</t>
  </si>
  <si>
    <t>Subabulwood</t>
  </si>
  <si>
    <t>Wood bark</t>
  </si>
  <si>
    <t>Wood pellets</t>
  </si>
  <si>
    <t>Willow 4</t>
  </si>
  <si>
    <t>Spruce wood 1</t>
  </si>
  <si>
    <t>Spruce wood 2</t>
  </si>
  <si>
    <t>alfalfastems</t>
  </si>
  <si>
    <t>Euphorbiarigida</t>
  </si>
  <si>
    <t>Olive stone 1</t>
  </si>
  <si>
    <t>Olive stone 2</t>
  </si>
  <si>
    <t>Olive stone 3</t>
  </si>
  <si>
    <t>Olive stone 4</t>
  </si>
  <si>
    <t>Olive stone 5</t>
  </si>
  <si>
    <t>Olive stone 6</t>
  </si>
  <si>
    <t>Olive stone 7</t>
  </si>
  <si>
    <t>Pine cone</t>
  </si>
  <si>
    <t>Switch grass 3</t>
  </si>
  <si>
    <t>Timothy grass</t>
  </si>
  <si>
    <t>Tobacco leaf</t>
  </si>
  <si>
    <t>Tobacco stalk</t>
  </si>
  <si>
    <t>Bamboo sawdust</t>
  </si>
  <si>
    <t>Broadbean stalk</t>
  </si>
  <si>
    <t>Cotton gin trash</t>
  </si>
  <si>
    <t>Cotton gin waste</t>
  </si>
  <si>
    <t>fir mill waste</t>
  </si>
  <si>
    <t>jatrophacakes</t>
  </si>
  <si>
    <t>Milethust</t>
  </si>
  <si>
    <t>Moringa cakes</t>
  </si>
  <si>
    <t>Olive husk</t>
  </si>
  <si>
    <t>Olive pits 2</t>
  </si>
  <si>
    <t>Olive pits 1</t>
  </si>
  <si>
    <t>Pine sawdust 1</t>
  </si>
  <si>
    <t>Poplar sawdust 1</t>
  </si>
  <si>
    <t>Saw dust</t>
  </si>
  <si>
    <t>Tea waste</t>
  </si>
  <si>
    <t>Yard waste</t>
  </si>
  <si>
    <t>Wheat dust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</si>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</sst>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/>
    <xf numFmtId="0" fontId="0" fillId="0" borderId="1" xfId="0" applyBorder="1"/>
    <xf numFmtId="0" fontId="1" fillId="0" borderId="4" xfId="0" applyFont="1" applyBorder="1"/>
    <xf numFmtId="0" fontId="1" fillId="0" borderId="6" xfId="0" applyFont="1" applyBorder="1"/>
    <xf numFmtId="0" fontId="0" fillId="0" borderId="4" xfId="0" applyBorder="1"/>
    <xf numFmtId="0" fontId="1" fillId="0" borderId="3" xfId="0" applyFont="1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/>
    <xf numFmtId="164" fontId="0" fillId="2" borderId="7" xfId="0" applyNumberFormat="1" applyFill="1" applyBorder="1"/>
    <xf numFmtId="164" fontId="0" fillId="2" borderId="8" xfId="0" applyNumberFormat="1" applyFill="1" applyBorder="1"/>
    <xf numFmtId="165" fontId="0" fillId="2" borderId="7" xfId="0" applyNumberFormat="1" applyFill="1" applyBorder="1"/>
    <xf numFmtId="0" fontId="0" fillId="2" borderId="7" xfId="0" applyFill="1" applyBorder="1"/>
    <xf numFmtId="0" fontId="2" fillId="0" borderId="7" xfId="0" applyFont="1" applyBorder="1" applyAlignment="1">
      <alignment horizontal="center"/>
    </xf>
    <xf numFmtId="0" fontId="0" fillId="0" borderId="2" xfId="0" applyBorder="1"/>
    <xf numFmtId="0" fontId="0" fillId="2" borderId="11" xfId="0" applyFill="1" applyBorder="1"/>
    <xf numFmtId="0" fontId="0" fillId="2" borderId="8" xfId="0" applyFill="1" applyBorder="1"/>
    <xf numFmtId="164" fontId="0" fillId="2" borderId="9" xfId="0" applyNumberFormat="1" applyFill="1" applyBorder="1"/>
    <xf numFmtId="164" fontId="0" fillId="2" borderId="1" xfId="0" applyNumberFormat="1" applyFill="1" applyBorder="1"/>
    <xf numFmtId="164" fontId="0" fillId="2" borderId="10" xfId="0" applyNumberFormat="1" applyFill="1" applyBorder="1"/>
    <xf numFmtId="0" fontId="3" fillId="2" borderId="11" xfId="0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0" fontId="0" fillId="0" borderId="13" xfId="0" applyBorder="1"/>
    <xf numFmtId="0" fontId="0" fillId="2" borderId="1" xfId="0" applyFill="1" applyBorder="1"/>
    <xf numFmtId="0" fontId="0" fillId="2" borderId="10" xfId="0" applyFill="1" applyBorder="1"/>
    <xf numFmtId="164" fontId="0" fillId="2" borderId="4" xfId="0" applyNumberFormat="1" applyFill="1" applyBorder="1"/>
    <xf numFmtId="0" fontId="0" fillId="2" borderId="9" xfId="0" applyFill="1" applyBorder="1"/>
    <xf numFmtId="0" fontId="0" fillId="2" borderId="4" xfId="0" applyFill="1" applyBorder="1"/>
    <xf numFmtId="0" fontId="0" fillId="0" borderId="14" xfId="0" applyBorder="1"/>
    <xf numFmtId="0" fontId="0" fillId="0" borderId="15" xfId="0" applyBorder="1"/>
    <xf numFmtId="0" fontId="2" fillId="2" borderId="7" xfId="0" applyFont="1" applyFill="1" applyBorder="1"/>
    <xf numFmtId="0" fontId="1" fillId="2" borderId="3" xfId="0" applyFont="1" applyFill="1" applyBorder="1"/>
    <xf numFmtId="0" fontId="2" fillId="2" borderId="8" xfId="0" applyFont="1" applyFill="1" applyBorder="1"/>
    <xf numFmtId="0" fontId="0" fillId="2" borderId="11" xfId="0" applyFill="1" applyBorder="1" applyAlignment="1">
      <alignment vertical="center"/>
    </xf>
    <xf numFmtId="0" fontId="0" fillId="2" borderId="11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center" wrapText="1"/>
    </xf>
    <xf numFmtId="16" fontId="0" fillId="0" borderId="11" xfId="0" quotePrefix="1" applyNumberFormat="1" applyBorder="1"/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12" xfId="0" applyFill="1" applyBorder="1"/>
    <xf numFmtId="0" fontId="0" fillId="2" borderId="12" xfId="0" applyFill="1" applyBorder="1" applyAlignment="1">
      <alignment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6" fontId="0" fillId="2" borderId="5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6" fillId="0" borderId="11" xfId="0" applyFont="1" applyBorder="1"/>
    <xf numFmtId="0" fontId="1" fillId="0" borderId="5" xfId="0" applyFont="1" applyBorder="1"/>
    <xf numFmtId="0" fontId="1" fillId="0" borderId="7" xfId="0" applyFont="1" applyBorder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4" xfId="0" applyBorder="1" applyAlignment="1">
      <alignment horizontal="center" textRotation="45"/>
    </xf>
    <xf numFmtId="0" fontId="0" fillId="0" borderId="9" xfId="0" applyBorder="1" applyAlignment="1">
      <alignment horizontal="center" textRotation="45"/>
    </xf>
    <xf numFmtId="0" fontId="2" fillId="0" borderId="3" xfId="0" applyFont="1" applyBorder="1" applyAlignment="1">
      <alignment horizontal="left" vertical="center" textRotation="45"/>
    </xf>
    <xf numFmtId="0" fontId="2" fillId="0" borderId="11" xfId="0" applyFont="1" applyBorder="1" applyAlignment="1">
      <alignment horizontal="left" vertical="center" textRotation="45"/>
    </xf>
    <xf numFmtId="0" fontId="2" fillId="0" borderId="12" xfId="0" applyFont="1" applyBorder="1" applyAlignment="1">
      <alignment horizontal="left" vertical="center" textRotation="45"/>
    </xf>
    <xf numFmtId="0" fontId="0" fillId="0" borderId="4" xfId="0" applyBorder="1" applyAlignment="1">
      <alignment horizontal="left" vertical="center" textRotation="45"/>
    </xf>
    <xf numFmtId="0" fontId="0" fillId="0" borderId="7" xfId="0" applyBorder="1" applyAlignment="1">
      <alignment horizontal="left" vertical="center" textRotation="45"/>
    </xf>
    <xf numFmtId="0" fontId="0" fillId="0" borderId="9" xfId="0" applyBorder="1" applyAlignment="1">
      <alignment horizontal="left" vertical="center" textRotation="45"/>
    </xf>
    <xf numFmtId="0" fontId="2" fillId="0" borderId="4" xfId="0" applyFont="1" applyBorder="1" applyAlignment="1">
      <alignment horizontal="center" vertical="center" textRotation="45"/>
    </xf>
    <xf numFmtId="0" fontId="2" fillId="0" borderId="7" xfId="0" applyFont="1" applyBorder="1" applyAlignment="1">
      <alignment horizontal="center" vertical="center" textRotation="45"/>
    </xf>
    <xf numFmtId="0" fontId="2" fillId="0" borderId="9" xfId="0" applyFont="1" applyBorder="1" applyAlignment="1">
      <alignment horizontal="center" vertical="center" textRotation="45"/>
    </xf>
    <xf numFmtId="0" fontId="4" fillId="2" borderId="4" xfId="0" applyFont="1" applyFill="1" applyBorder="1" applyAlignment="1">
      <alignment horizontal="left" vertical="center" textRotation="45"/>
    </xf>
    <xf numFmtId="0" fontId="4" fillId="2" borderId="7" xfId="0" applyFont="1" applyFill="1" applyBorder="1" applyAlignment="1">
      <alignment horizontal="left" vertical="center" textRotation="45"/>
    </xf>
    <xf numFmtId="0" fontId="4" fillId="2" borderId="9" xfId="0" applyFont="1" applyFill="1" applyBorder="1" applyAlignment="1">
      <alignment horizontal="left" vertical="center" textRotation="45"/>
    </xf>
    <xf numFmtId="0" fontId="4" fillId="2" borderId="4" xfId="0" applyFont="1" applyFill="1" applyBorder="1" applyAlignment="1">
      <alignment horizontal="center" vertical="center" textRotation="45"/>
    </xf>
    <xf numFmtId="0" fontId="4" fillId="2" borderId="7" xfId="0" applyFont="1" applyFill="1" applyBorder="1" applyAlignment="1">
      <alignment horizontal="center" vertical="center" textRotation="45"/>
    </xf>
    <xf numFmtId="0" fontId="4" fillId="2" borderId="9" xfId="0" applyFont="1" applyFill="1" applyBorder="1" applyAlignment="1">
      <alignment horizontal="center" vertical="center" textRotation="45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/>
    <xf numFmtId="0" fontId="1" fillId="2" borderId="4" xfId="0" applyFont="1" applyFill="1" applyBorder="1" applyAlignmen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69850</xdr:colOff>
      <xdr:row>60</xdr:row>
      <xdr:rowOff>139700</xdr:rowOff>
    </xdr:from>
    <xdr:to>
      <xdr:col>27</xdr:col>
      <xdr:colOff>264573</xdr:colOff>
      <xdr:row>74</xdr:row>
      <xdr:rowOff>54400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CEC9D2-1FA2-C345-D1E9-0B08B539B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9150" y="1473200"/>
          <a:ext cx="7506748" cy="3048425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81</xdr:row>
      <xdr:rowOff>38100</xdr:rowOff>
    </xdr:from>
    <xdr:to>
      <xdr:col>30</xdr:col>
      <xdr:colOff>360092</xdr:colOff>
      <xdr:row>94</xdr:row>
      <xdr:rowOff>130521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2B76AB-3FCC-70E3-E95D-FE2DDCEB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6075" y="8534400"/>
          <a:ext cx="9437417" cy="2435571"/>
        </a:xfrm>
        <a:prstGeom prst="rect">
          <a:avLst/>
        </a:prstGeom>
      </xdr:spPr>
    </xdr:pic>
    <xdr:clientData/>
  </xdr:twoCellAnchor>
  <xdr:twoCellAnchor editAs="oneCell">
    <xdr:from>
      <xdr:col>15</xdr:col>
      <xdr:colOff>533400</xdr:colOff>
      <xdr:row>0</xdr:row>
      <xdr:rowOff>0</xdr:rowOff>
    </xdr:from>
    <xdr:to>
      <xdr:col>27</xdr:col>
      <xdr:colOff>16823</xdr:colOff>
      <xdr:row>23</xdr:row>
      <xdr:rowOff>172055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74E044-A9AE-43F5-F901-89598C010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0"/>
          <a:ext cx="6789098" cy="43344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sper Holst" id="{A5D29341-ADE9-4C48-A2A7-6261BC8581AB}" userId="S::holst@dtu.dk::b049f093-a4fc-4fa4-8c33-80e51102a90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49" dT="2026-03-12T10:06:33.87" personId="{A5D29341-ADE9-4C48-A2A7-6261BC8581AB}" id="{487DA60B-D626-443C-AC67-6E0707BADBBC}">
    <text>Bio-oil conversion is 4%</text>
  </threadedComment>
  <threadedComment ref="B250" dT="2026-03-12T10:06:42.85" personId="{A5D29341-ADE9-4C48-A2A7-6261BC8581AB}" id="{E730F02A-ACDE-433B-9BA2-745DC705F061}">
    <text xml:space="preserve">Bio-oil conversion is 18%
</text>
  </threadedComment>
  <threadedComment ref="B251" dT="2026-03-12T10:06:51.21" personId="{A5D29341-ADE9-4C48-A2A7-6261BC8581AB}" id="{CBA9F8CC-42B0-423E-B1EA-D550D2E836E4}">
    <text xml:space="preserve">Bio-oil conversion is 12%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7"/>
  <sheetViews>
    <sheetView tabSelected="1" zoomScale="90" zoomScaleNormal="90" workbookViewId="0">
      <pane ySplit="2" topLeftCell="A3" activePane="bottomLeft" state="frozen"/>
      <selection pane="bottomLeft" activeCell="C11" sqref="C11"/>
    </sheetView>
  </sheetViews>
  <sheetFormatPr defaultRowHeight="15" x14ac:dyDescent="0.25"/>
  <cols>
    <col min="1" max="1" width="19.7109375" style="5" bestFit="1" customWidth="1"/>
    <col min="2" max="2" width="40.140625" style="15" customWidth="1"/>
    <col min="3" max="3" width="9" style="5" bestFit="1" customWidth="1"/>
    <col min="4" max="4" width="15.5703125" bestFit="1" customWidth="1"/>
    <col min="5" max="5" width="12.140625" bestFit="1" customWidth="1"/>
    <col min="6" max="6" width="8.5703125" style="6" bestFit="1" customWidth="1"/>
    <col min="7" max="7" width="10.42578125" style="67" bestFit="1" customWidth="1"/>
    <col min="8" max="10" width="8.42578125" style="75" bestFit="1" customWidth="1"/>
    <col min="11" max="11" width="8.42578125" style="68" bestFit="1" customWidth="1"/>
    <col min="12" max="12" width="11.85546875" style="5" bestFit="1" customWidth="1"/>
    <col min="13" max="13" width="15.5703125" style="6" bestFit="1" customWidth="1"/>
    <col min="14" max="14" width="10.140625" style="15" bestFit="1" customWidth="1"/>
    <col min="15" max="15" width="24.7109375" style="15" bestFit="1" customWidth="1"/>
    <col min="16" max="16" width="49.140625" style="6" bestFit="1" customWidth="1"/>
    <col min="17" max="17" width="26.85546875" bestFit="1" customWidth="1"/>
    <col min="19" max="19" width="23.85546875" customWidth="1"/>
  </cols>
  <sheetData>
    <row r="1" spans="1:19" s="1" customFormat="1" x14ac:dyDescent="0.25">
      <c r="A1" s="101" t="s">
        <v>140</v>
      </c>
      <c r="B1" s="101" t="s">
        <v>141</v>
      </c>
      <c r="C1" s="106" t="s">
        <v>12</v>
      </c>
      <c r="D1" s="106" t="s">
        <v>12</v>
      </c>
      <c r="E1" s="106" t="s">
        <v>12</v>
      </c>
      <c r="F1" s="106" t="s">
        <v>12</v>
      </c>
      <c r="G1" s="106" t="s">
        <v>15</v>
      </c>
      <c r="H1" s="106" t="s">
        <v>15</v>
      </c>
      <c r="I1" s="106" t="s">
        <v>15</v>
      </c>
      <c r="J1" s="106" t="s">
        <v>15</v>
      </c>
      <c r="K1" s="106" t="s">
        <v>15</v>
      </c>
      <c r="L1" s="106" t="s">
        <v>887</v>
      </c>
      <c r="M1" s="106" t="s">
        <v>887</v>
      </c>
      <c r="N1" s="43" t="s">
        <v>888</v>
      </c>
      <c r="O1" s="14" t="s">
        <v>117</v>
      </c>
      <c r="P1" s="12" t="s">
        <v>25</v>
      </c>
      <c r="Q1" s="1" t="s">
        <v>24</v>
      </c>
      <c r="S1" s="1" t="s">
        <v>23</v>
      </c>
    </row>
    <row r="2" spans="1:19" ht="45" x14ac:dyDescent="0.25">
      <c r="A2" s="102"/>
      <c r="B2" s="102"/>
      <c r="C2" s="42" t="s">
        <v>13</v>
      </c>
      <c r="D2" s="78" t="s">
        <v>320</v>
      </c>
      <c r="E2" s="76" t="s">
        <v>319</v>
      </c>
      <c r="F2" s="44" t="s">
        <v>14</v>
      </c>
      <c r="G2" s="53" t="s">
        <v>16</v>
      </c>
      <c r="H2" s="77" t="s">
        <v>17</v>
      </c>
      <c r="I2" s="77" t="s">
        <v>18</v>
      </c>
      <c r="J2" s="77" t="s">
        <v>19</v>
      </c>
      <c r="K2" s="54" t="s">
        <v>20</v>
      </c>
      <c r="L2" s="42" t="s">
        <v>95</v>
      </c>
      <c r="M2" s="44" t="s">
        <v>21</v>
      </c>
      <c r="N2" s="29">
        <v>0</v>
      </c>
      <c r="O2" s="48" t="s">
        <v>118</v>
      </c>
      <c r="S2" t="s">
        <v>97</v>
      </c>
    </row>
    <row r="3" spans="1:19" ht="18.600000000000001" customHeight="1" x14ac:dyDescent="0.25">
      <c r="A3" s="98" t="s">
        <v>142</v>
      </c>
      <c r="B3" s="49" t="s">
        <v>143</v>
      </c>
      <c r="C3" s="39">
        <v>10.5</v>
      </c>
      <c r="D3" s="30">
        <v>81.599999999999994</v>
      </c>
      <c r="E3" s="30"/>
      <c r="F3" s="31">
        <v>2.1</v>
      </c>
      <c r="G3" s="55">
        <v>48.5</v>
      </c>
      <c r="H3" s="56">
        <v>6.3</v>
      </c>
      <c r="I3" s="56">
        <v>42.8</v>
      </c>
      <c r="J3" s="56">
        <v>0.25</v>
      </c>
      <c r="K3" s="57">
        <v>0.03</v>
      </c>
      <c r="L3" s="39"/>
      <c r="M3" s="33">
        <v>19.02</v>
      </c>
      <c r="N3" s="50" t="s">
        <v>134</v>
      </c>
      <c r="S3" t="s">
        <v>98</v>
      </c>
    </row>
    <row r="4" spans="1:19" x14ac:dyDescent="0.25">
      <c r="A4" s="99"/>
      <c r="B4" s="45" t="s">
        <v>144</v>
      </c>
      <c r="C4" s="18">
        <v>6.5</v>
      </c>
      <c r="D4" s="73">
        <v>93</v>
      </c>
      <c r="E4" s="74"/>
      <c r="F4" s="19">
        <v>0.5</v>
      </c>
      <c r="G4" s="58">
        <v>50.6</v>
      </c>
      <c r="H4" s="59">
        <v>6.1</v>
      </c>
      <c r="I4" s="59">
        <v>42.9</v>
      </c>
      <c r="J4" s="59">
        <v>0.3</v>
      </c>
      <c r="K4" s="60">
        <v>0.1</v>
      </c>
      <c r="L4" s="18"/>
      <c r="M4" s="19">
        <v>20.100000000000001</v>
      </c>
      <c r="N4" s="24" t="s">
        <v>22</v>
      </c>
      <c r="S4" t="s">
        <v>101</v>
      </c>
    </row>
    <row r="5" spans="1:19" x14ac:dyDescent="0.25">
      <c r="A5" s="99"/>
      <c r="B5" s="45" t="s">
        <v>612</v>
      </c>
      <c r="C5" s="18">
        <v>6.5</v>
      </c>
      <c r="D5" s="73">
        <v>73</v>
      </c>
      <c r="E5" s="74">
        <v>20</v>
      </c>
      <c r="F5" s="19">
        <v>0.5</v>
      </c>
      <c r="G5" s="58">
        <v>50.6</v>
      </c>
      <c r="H5" s="59">
        <v>6.1</v>
      </c>
      <c r="I5" s="59">
        <v>42.9</v>
      </c>
      <c r="J5" s="59">
        <v>0.3</v>
      </c>
      <c r="K5" s="60">
        <v>0.1</v>
      </c>
      <c r="L5" s="18"/>
      <c r="M5" s="19"/>
      <c r="N5" s="24" t="s">
        <v>579</v>
      </c>
      <c r="S5" t="s">
        <v>104</v>
      </c>
    </row>
    <row r="6" spans="1:19" ht="17.25" customHeight="1" x14ac:dyDescent="0.25">
      <c r="A6" s="99"/>
      <c r="B6" s="45" t="s">
        <v>613</v>
      </c>
      <c r="C6" s="18"/>
      <c r="D6" s="73">
        <v>78.099999999999994</v>
      </c>
      <c r="E6" s="74">
        <v>21.4</v>
      </c>
      <c r="F6" s="19">
        <v>0.5</v>
      </c>
      <c r="G6" s="58">
        <v>50.6</v>
      </c>
      <c r="H6" s="59">
        <v>6.1</v>
      </c>
      <c r="I6" s="59">
        <v>42.9</v>
      </c>
      <c r="J6" s="59">
        <v>0.3</v>
      </c>
      <c r="K6" s="60">
        <v>0.1</v>
      </c>
      <c r="L6" s="18"/>
      <c r="M6" s="19"/>
      <c r="N6" s="24" t="s">
        <v>579</v>
      </c>
      <c r="S6" t="s">
        <v>115</v>
      </c>
    </row>
    <row r="7" spans="1:19" ht="17.25" customHeight="1" x14ac:dyDescent="0.25">
      <c r="A7" s="99"/>
      <c r="B7" s="45" t="s">
        <v>886</v>
      </c>
      <c r="C7" s="18"/>
      <c r="D7" s="73">
        <v>73.5</v>
      </c>
      <c r="E7" s="74">
        <v>24.8</v>
      </c>
      <c r="F7" s="19">
        <v>1.7</v>
      </c>
      <c r="G7" s="58">
        <v>49.5</v>
      </c>
      <c r="H7" s="59">
        <v>6.2</v>
      </c>
      <c r="I7" s="59">
        <v>41</v>
      </c>
      <c r="J7" s="59">
        <v>0.3</v>
      </c>
      <c r="K7" s="60"/>
      <c r="L7" s="18"/>
      <c r="M7" s="19">
        <v>19</v>
      </c>
      <c r="N7" s="24" t="s">
        <v>791</v>
      </c>
      <c r="P7" s="6" t="s">
        <v>473</v>
      </c>
      <c r="S7" t="s">
        <v>116</v>
      </c>
    </row>
    <row r="8" spans="1:19" ht="14.45" customHeight="1" x14ac:dyDescent="0.25">
      <c r="A8" s="99"/>
      <c r="B8" s="45" t="s">
        <v>345</v>
      </c>
      <c r="C8" s="18" t="s">
        <v>330</v>
      </c>
      <c r="D8" s="73"/>
      <c r="E8" s="74"/>
      <c r="F8" s="19" t="s">
        <v>136</v>
      </c>
      <c r="G8" s="58" t="s">
        <v>331</v>
      </c>
      <c r="H8" s="59" t="s">
        <v>332</v>
      </c>
      <c r="I8" s="59" t="s">
        <v>335</v>
      </c>
      <c r="J8" s="59" t="s">
        <v>333</v>
      </c>
      <c r="K8" s="60" t="s">
        <v>334</v>
      </c>
      <c r="L8" s="18"/>
      <c r="M8" s="19" t="s">
        <v>336</v>
      </c>
      <c r="N8" s="24" t="s">
        <v>134</v>
      </c>
      <c r="S8" t="s">
        <v>121</v>
      </c>
    </row>
    <row r="9" spans="1:19" x14ac:dyDescent="0.25">
      <c r="A9" s="99"/>
      <c r="B9" s="45" t="s">
        <v>346</v>
      </c>
      <c r="C9" s="18">
        <v>31.8</v>
      </c>
      <c r="D9" s="73"/>
      <c r="E9" s="74"/>
      <c r="F9" s="19"/>
      <c r="G9" s="58"/>
      <c r="H9" s="59"/>
      <c r="I9" s="59"/>
      <c r="J9" s="59"/>
      <c r="K9" s="60"/>
      <c r="L9" s="18"/>
      <c r="M9" s="19">
        <f>17133/1000</f>
        <v>17.132999999999999</v>
      </c>
      <c r="N9" s="24" t="s">
        <v>134</v>
      </c>
      <c r="S9" t="s">
        <v>266</v>
      </c>
    </row>
    <row r="10" spans="1:19" x14ac:dyDescent="0.25">
      <c r="A10" s="99"/>
      <c r="B10" s="45" t="s">
        <v>347</v>
      </c>
      <c r="C10" s="18" t="s">
        <v>135</v>
      </c>
      <c r="D10" s="73"/>
      <c r="E10" s="74"/>
      <c r="F10" s="19" t="s">
        <v>337</v>
      </c>
      <c r="G10" s="58">
        <v>51.8</v>
      </c>
      <c r="H10" s="59">
        <v>6.1</v>
      </c>
      <c r="I10" s="59">
        <v>41.2</v>
      </c>
      <c r="J10" s="59">
        <v>0.3</v>
      </c>
      <c r="K10" s="60">
        <v>0.01</v>
      </c>
      <c r="L10" s="18"/>
      <c r="M10" s="19"/>
      <c r="N10" s="24" t="s">
        <v>134</v>
      </c>
      <c r="S10" t="s">
        <v>271</v>
      </c>
    </row>
    <row r="11" spans="1:19" x14ac:dyDescent="0.25">
      <c r="A11" s="99"/>
      <c r="B11" s="45" t="s">
        <v>348</v>
      </c>
      <c r="C11" s="18"/>
      <c r="D11" s="73" t="s">
        <v>338</v>
      </c>
      <c r="E11" s="74" t="s">
        <v>339</v>
      </c>
      <c r="F11" s="19"/>
      <c r="G11" s="58" t="s">
        <v>340</v>
      </c>
      <c r="H11" s="59" t="s">
        <v>341</v>
      </c>
      <c r="I11" s="59" t="s">
        <v>344</v>
      </c>
      <c r="J11" s="59" t="s">
        <v>343</v>
      </c>
      <c r="K11" s="60" t="s">
        <v>342</v>
      </c>
      <c r="L11" s="18"/>
      <c r="M11" s="19"/>
      <c r="N11" s="24" t="s">
        <v>134</v>
      </c>
      <c r="S11" t="s">
        <v>275</v>
      </c>
    </row>
    <row r="12" spans="1:19" x14ac:dyDescent="0.25">
      <c r="A12" s="99"/>
      <c r="B12" s="45" t="s">
        <v>349</v>
      </c>
      <c r="C12" s="18" t="s">
        <v>351</v>
      </c>
      <c r="D12" s="73">
        <v>66.3</v>
      </c>
      <c r="E12" s="74">
        <v>16.600000000000001</v>
      </c>
      <c r="F12" s="19" t="s">
        <v>352</v>
      </c>
      <c r="G12" s="58" t="s">
        <v>353</v>
      </c>
      <c r="H12" s="59">
        <v>5.2</v>
      </c>
      <c r="I12" s="59">
        <v>31.4</v>
      </c>
      <c r="J12" s="59">
        <v>2.2999999999999998</v>
      </c>
      <c r="K12" s="60">
        <v>0.2</v>
      </c>
      <c r="L12" s="18"/>
      <c r="M12" s="19">
        <f>17700/1000</f>
        <v>17.7</v>
      </c>
      <c r="N12" s="24" t="s">
        <v>134</v>
      </c>
      <c r="S12" t="s">
        <v>280</v>
      </c>
    </row>
    <row r="13" spans="1:19" x14ac:dyDescent="0.25">
      <c r="A13" s="99"/>
      <c r="B13" s="45" t="s">
        <v>350</v>
      </c>
      <c r="C13" s="21"/>
      <c r="D13" s="73">
        <v>82.1</v>
      </c>
      <c r="E13" s="74"/>
      <c r="F13" s="19">
        <v>0.7</v>
      </c>
      <c r="G13" s="58">
        <v>51.1</v>
      </c>
      <c r="H13" s="59">
        <v>6.14</v>
      </c>
      <c r="I13" s="59">
        <v>41.56</v>
      </c>
      <c r="J13" s="59" t="s">
        <v>354</v>
      </c>
      <c r="K13" s="60" t="s">
        <v>355</v>
      </c>
      <c r="L13" s="18"/>
      <c r="M13" s="19">
        <f>20000/1000</f>
        <v>20</v>
      </c>
      <c r="N13" s="24" t="s">
        <v>134</v>
      </c>
      <c r="S13" t="s">
        <v>290</v>
      </c>
    </row>
    <row r="14" spans="1:19" ht="14.45" customHeight="1" x14ac:dyDescent="0.25">
      <c r="A14" s="99"/>
      <c r="B14" s="45" t="s">
        <v>146</v>
      </c>
      <c r="C14" s="18">
        <v>44.2</v>
      </c>
      <c r="D14" s="73">
        <v>85.1</v>
      </c>
      <c r="E14" s="74"/>
      <c r="F14" s="19">
        <v>2.86</v>
      </c>
      <c r="G14" s="58">
        <v>49.4</v>
      </c>
      <c r="H14" s="59">
        <v>5.5</v>
      </c>
      <c r="I14" s="59">
        <v>44.8</v>
      </c>
      <c r="J14" s="59">
        <v>0.16</v>
      </c>
      <c r="K14" s="60">
        <v>0.03</v>
      </c>
      <c r="L14" s="18"/>
      <c r="M14" s="19"/>
      <c r="N14" s="24" t="s">
        <v>134</v>
      </c>
      <c r="S14" t="s">
        <v>297</v>
      </c>
    </row>
    <row r="15" spans="1:19" x14ac:dyDescent="0.25">
      <c r="A15" s="99"/>
      <c r="B15" s="45" t="s">
        <v>147</v>
      </c>
      <c r="C15" s="18" t="s">
        <v>138</v>
      </c>
      <c r="D15" s="73" t="s">
        <v>357</v>
      </c>
      <c r="E15" s="74" t="s">
        <v>358</v>
      </c>
      <c r="F15" s="19" t="s">
        <v>356</v>
      </c>
      <c r="G15" s="58" t="s">
        <v>360</v>
      </c>
      <c r="H15" s="59" t="s">
        <v>361</v>
      </c>
      <c r="I15" s="59" t="s">
        <v>362</v>
      </c>
      <c r="J15" s="59" t="s">
        <v>363</v>
      </c>
      <c r="K15" s="60" t="s">
        <v>364</v>
      </c>
      <c r="L15" s="20"/>
      <c r="M15" s="19" t="s">
        <v>359</v>
      </c>
      <c r="N15" s="24" t="s">
        <v>134</v>
      </c>
      <c r="S15" t="s">
        <v>300</v>
      </c>
    </row>
    <row r="16" spans="1:19" x14ac:dyDescent="0.25">
      <c r="A16" s="99"/>
      <c r="B16" s="45" t="s">
        <v>148</v>
      </c>
      <c r="C16" s="18" t="s">
        <v>366</v>
      </c>
      <c r="D16" s="73" t="s">
        <v>367</v>
      </c>
      <c r="E16" s="74" t="s">
        <v>368</v>
      </c>
      <c r="F16" s="19" t="s">
        <v>369</v>
      </c>
      <c r="G16" s="58" t="s">
        <v>370</v>
      </c>
      <c r="H16" s="59">
        <v>6.3</v>
      </c>
      <c r="I16" s="59" t="s">
        <v>371</v>
      </c>
      <c r="J16" s="59" t="s">
        <v>372</v>
      </c>
      <c r="K16" s="60" t="s">
        <v>373</v>
      </c>
      <c r="L16" s="18"/>
      <c r="M16" s="19" t="s">
        <v>365</v>
      </c>
      <c r="N16" s="24" t="s">
        <v>134</v>
      </c>
      <c r="S16" t="s">
        <v>304</v>
      </c>
    </row>
    <row r="17" spans="1:19" x14ac:dyDescent="0.25">
      <c r="A17" s="99"/>
      <c r="B17" s="45" t="s">
        <v>149</v>
      </c>
      <c r="C17" s="18"/>
      <c r="D17" s="73"/>
      <c r="E17" s="74"/>
      <c r="F17" s="19">
        <v>1.43</v>
      </c>
      <c r="G17" s="58">
        <v>48.5</v>
      </c>
      <c r="H17" s="59">
        <v>5.9</v>
      </c>
      <c r="I17" s="59">
        <v>43.7</v>
      </c>
      <c r="J17" s="59">
        <v>0.47</v>
      </c>
      <c r="K17" s="60">
        <v>0.01</v>
      </c>
      <c r="L17" s="18"/>
      <c r="M17" s="19">
        <f>19380/1000</f>
        <v>19.38</v>
      </c>
      <c r="N17" s="24" t="s">
        <v>134</v>
      </c>
      <c r="S17" t="s">
        <v>479</v>
      </c>
    </row>
    <row r="18" spans="1:19" x14ac:dyDescent="0.25">
      <c r="A18" s="99"/>
      <c r="B18" s="45" t="s">
        <v>150</v>
      </c>
      <c r="C18" s="18"/>
      <c r="D18" s="73">
        <v>76.8</v>
      </c>
      <c r="E18" s="74"/>
      <c r="F18" s="19">
        <v>21</v>
      </c>
      <c r="G18" s="58">
        <v>36.200000000000003</v>
      </c>
      <c r="H18" s="59">
        <v>4.3</v>
      </c>
      <c r="I18" s="59">
        <v>51.6</v>
      </c>
      <c r="J18" s="59">
        <v>1.1000000000000001</v>
      </c>
      <c r="K18" s="60">
        <v>1.2</v>
      </c>
      <c r="L18" s="18"/>
      <c r="M18" s="19"/>
      <c r="N18" s="24" t="s">
        <v>134</v>
      </c>
      <c r="S18" t="s">
        <v>321</v>
      </c>
    </row>
    <row r="19" spans="1:19" x14ac:dyDescent="0.25">
      <c r="A19" s="99"/>
      <c r="B19" s="45" t="s">
        <v>151</v>
      </c>
      <c r="C19" s="18"/>
      <c r="D19" s="73"/>
      <c r="E19" s="74"/>
      <c r="F19" s="19">
        <v>2</v>
      </c>
      <c r="G19" s="58">
        <v>48</v>
      </c>
      <c r="H19" s="59">
        <v>6.2</v>
      </c>
      <c r="I19" s="59">
        <v>43</v>
      </c>
      <c r="J19" s="59">
        <v>0.4</v>
      </c>
      <c r="K19" s="60">
        <v>0.03</v>
      </c>
      <c r="L19" s="18"/>
      <c r="M19" s="19">
        <f>19800/1000</f>
        <v>19.8</v>
      </c>
      <c r="N19" s="24" t="s">
        <v>134</v>
      </c>
      <c r="S19" t="s">
        <v>520</v>
      </c>
    </row>
    <row r="20" spans="1:19" x14ac:dyDescent="0.25">
      <c r="A20" s="99"/>
      <c r="B20" s="45" t="s">
        <v>152</v>
      </c>
      <c r="C20" s="18"/>
      <c r="D20" s="73">
        <v>83.7</v>
      </c>
      <c r="E20" s="74"/>
      <c r="F20" s="19">
        <v>0.55000000000000004</v>
      </c>
      <c r="G20" s="58">
        <v>46.73</v>
      </c>
      <c r="H20" s="59">
        <v>5.88</v>
      </c>
      <c r="I20" s="59">
        <v>46.8</v>
      </c>
      <c r="J20" s="59">
        <v>0.4</v>
      </c>
      <c r="K20" s="60">
        <v>0.04</v>
      </c>
      <c r="L20" s="18"/>
      <c r="M20" s="19"/>
      <c r="N20" s="24" t="s">
        <v>134</v>
      </c>
      <c r="S20" t="s">
        <v>544</v>
      </c>
    </row>
    <row r="21" spans="1:19" x14ac:dyDescent="0.25">
      <c r="A21" s="99"/>
      <c r="B21" s="45" t="s">
        <v>153</v>
      </c>
      <c r="C21" s="18"/>
      <c r="D21" s="73">
        <v>82.55</v>
      </c>
      <c r="E21" s="74"/>
      <c r="F21" s="19">
        <v>0.79</v>
      </c>
      <c r="G21" s="58">
        <v>49.66</v>
      </c>
      <c r="H21" s="59">
        <v>6.02</v>
      </c>
      <c r="I21" s="59">
        <v>42.95</v>
      </c>
      <c r="J21" s="59">
        <v>0.37</v>
      </c>
      <c r="K21" s="60">
        <v>0.08</v>
      </c>
      <c r="L21" s="18"/>
      <c r="M21" s="19">
        <f>19600/1000</f>
        <v>19.600000000000001</v>
      </c>
      <c r="N21" s="24" t="s">
        <v>134</v>
      </c>
      <c r="S21" t="s">
        <v>549</v>
      </c>
    </row>
    <row r="22" spans="1:19" x14ac:dyDescent="0.25">
      <c r="A22" s="99"/>
      <c r="B22" s="45" t="s">
        <v>154</v>
      </c>
      <c r="C22" s="18"/>
      <c r="D22" s="73">
        <v>80.98</v>
      </c>
      <c r="E22" s="74"/>
      <c r="F22" s="19">
        <v>1.26</v>
      </c>
      <c r="G22" s="58">
        <v>51.1</v>
      </c>
      <c r="H22" s="59">
        <v>6.09</v>
      </c>
      <c r="I22" s="59">
        <v>42.39</v>
      </c>
      <c r="J22" s="59">
        <v>0.54</v>
      </c>
      <c r="K22" s="60">
        <v>0.06</v>
      </c>
      <c r="L22" s="18"/>
      <c r="M22" s="19">
        <f>19500/1000</f>
        <v>19.5</v>
      </c>
      <c r="N22" s="24" t="s">
        <v>134</v>
      </c>
      <c r="S22" t="s">
        <v>552</v>
      </c>
    </row>
    <row r="23" spans="1:19" x14ac:dyDescent="0.25">
      <c r="A23" s="99"/>
      <c r="B23" s="45" t="s">
        <v>155</v>
      </c>
      <c r="C23" s="21"/>
      <c r="D23" s="73">
        <v>83.94</v>
      </c>
      <c r="E23" s="74"/>
      <c r="F23" s="19">
        <v>1.1200000000000001</v>
      </c>
      <c r="G23" s="58">
        <v>48.93</v>
      </c>
      <c r="H23" s="59">
        <v>6.06</v>
      </c>
      <c r="I23" s="59">
        <v>43.44</v>
      </c>
      <c r="J23" s="59">
        <v>0.43</v>
      </c>
      <c r="K23" s="60">
        <v>0.02</v>
      </c>
      <c r="L23" s="18"/>
      <c r="M23" s="19">
        <f>19500/1000</f>
        <v>19.5</v>
      </c>
      <c r="N23" s="24" t="s">
        <v>134</v>
      </c>
      <c r="S23" t="s">
        <v>557</v>
      </c>
    </row>
    <row r="24" spans="1:19" x14ac:dyDescent="0.25">
      <c r="A24" s="99"/>
      <c r="B24" s="45" t="s">
        <v>145</v>
      </c>
      <c r="C24" s="18">
        <v>7.37</v>
      </c>
      <c r="D24" s="73">
        <v>79.31</v>
      </c>
      <c r="E24" s="74"/>
      <c r="F24" s="19">
        <v>2.77</v>
      </c>
      <c r="G24" s="58">
        <v>49.41</v>
      </c>
      <c r="H24" s="59">
        <v>5.7</v>
      </c>
      <c r="I24" s="59">
        <v>41.48</v>
      </c>
      <c r="J24" s="59">
        <v>0.6</v>
      </c>
      <c r="K24" s="60">
        <v>0.04</v>
      </c>
      <c r="L24" s="18"/>
      <c r="M24" s="19">
        <f>19580/1000</f>
        <v>19.579999999999998</v>
      </c>
      <c r="N24" s="24" t="s">
        <v>134</v>
      </c>
      <c r="S24" t="s">
        <v>560</v>
      </c>
    </row>
    <row r="25" spans="1:19" x14ac:dyDescent="0.25">
      <c r="A25" s="99"/>
      <c r="B25" s="45" t="s">
        <v>156</v>
      </c>
      <c r="C25" s="18">
        <v>5</v>
      </c>
      <c r="D25" s="73">
        <v>83.3</v>
      </c>
      <c r="E25" s="74"/>
      <c r="F25" s="19">
        <v>0.9</v>
      </c>
      <c r="G25" s="58">
        <v>49.3</v>
      </c>
      <c r="H25" s="59">
        <v>6.4</v>
      </c>
      <c r="I25" s="59">
        <v>43.2</v>
      </c>
      <c r="J25" s="59">
        <v>0.14000000000000001</v>
      </c>
      <c r="K25" s="60">
        <v>0.08</v>
      </c>
      <c r="L25" s="18"/>
      <c r="M25" s="19">
        <f>19600/1000</f>
        <v>19.600000000000001</v>
      </c>
      <c r="N25" s="24" t="s">
        <v>134</v>
      </c>
      <c r="S25" t="s">
        <v>576</v>
      </c>
    </row>
    <row r="26" spans="1:19" x14ac:dyDescent="0.25">
      <c r="A26" s="99"/>
      <c r="B26" s="46" t="s">
        <v>139</v>
      </c>
      <c r="C26" s="18">
        <v>8.9</v>
      </c>
      <c r="D26" s="73">
        <v>81.2</v>
      </c>
      <c r="E26" s="74"/>
      <c r="F26" s="19">
        <v>0.5</v>
      </c>
      <c r="G26" s="58">
        <v>45.81</v>
      </c>
      <c r="H26" s="59">
        <v>5.85</v>
      </c>
      <c r="I26" s="59">
        <v>47.69</v>
      </c>
      <c r="J26" s="59">
        <v>0.1</v>
      </c>
      <c r="K26" s="60">
        <v>0.01</v>
      </c>
      <c r="L26" s="18"/>
      <c r="M26" s="19">
        <v>18.09</v>
      </c>
      <c r="N26" s="24" t="s">
        <v>134</v>
      </c>
      <c r="S26" t="s">
        <v>778</v>
      </c>
    </row>
    <row r="27" spans="1:19" x14ac:dyDescent="0.25">
      <c r="A27" s="99"/>
      <c r="B27" s="46" t="s">
        <v>631</v>
      </c>
      <c r="C27" s="18">
        <v>7.8</v>
      </c>
      <c r="D27" s="73">
        <v>77.5</v>
      </c>
      <c r="E27" s="74">
        <v>14.5</v>
      </c>
      <c r="F27" s="19">
        <v>0.2</v>
      </c>
      <c r="G27" s="58">
        <v>49.6</v>
      </c>
      <c r="H27" s="59">
        <v>6.1</v>
      </c>
      <c r="I27" s="59">
        <v>44.1</v>
      </c>
      <c r="J27" s="59">
        <v>0.1</v>
      </c>
      <c r="K27" s="60">
        <v>0.06</v>
      </c>
      <c r="L27" s="18"/>
      <c r="M27" s="19"/>
      <c r="N27" s="24" t="s">
        <v>579</v>
      </c>
      <c r="S27" t="s">
        <v>790</v>
      </c>
    </row>
    <row r="28" spans="1:19" x14ac:dyDescent="0.25">
      <c r="A28" s="99"/>
      <c r="B28" s="46" t="s">
        <v>632</v>
      </c>
      <c r="C28" s="18"/>
      <c r="D28" s="73">
        <v>84.1</v>
      </c>
      <c r="E28" s="74">
        <v>15.7</v>
      </c>
      <c r="F28" s="19">
        <v>0.2</v>
      </c>
      <c r="G28" s="58">
        <v>49.6</v>
      </c>
      <c r="H28" s="59">
        <v>6.1</v>
      </c>
      <c r="I28" s="59">
        <v>44.1</v>
      </c>
      <c r="J28" s="59">
        <v>0.1</v>
      </c>
      <c r="K28" s="60">
        <v>0.06</v>
      </c>
      <c r="L28" s="18"/>
      <c r="M28" s="19"/>
      <c r="N28" s="24" t="s">
        <v>579</v>
      </c>
    </row>
    <row r="29" spans="1:19" x14ac:dyDescent="0.25">
      <c r="A29" s="99"/>
      <c r="B29" s="47" t="s">
        <v>137</v>
      </c>
      <c r="C29" s="18"/>
      <c r="D29" s="73">
        <v>87.3</v>
      </c>
      <c r="E29" s="74"/>
      <c r="F29" s="19">
        <v>10</v>
      </c>
      <c r="G29" s="58">
        <v>50.64</v>
      </c>
      <c r="H29" s="59">
        <v>6.18</v>
      </c>
      <c r="I29" s="59">
        <v>43</v>
      </c>
      <c r="J29" s="59">
        <v>0.06</v>
      </c>
      <c r="K29" s="60">
        <v>0.02</v>
      </c>
      <c r="L29" s="18"/>
      <c r="M29" s="19">
        <v>20.37</v>
      </c>
      <c r="N29" s="24" t="s">
        <v>134</v>
      </c>
    </row>
    <row r="30" spans="1:19" x14ac:dyDescent="0.25">
      <c r="A30" s="99"/>
      <c r="B30" s="47" t="s">
        <v>507</v>
      </c>
      <c r="C30" s="18">
        <v>7</v>
      </c>
      <c r="D30" s="73"/>
      <c r="E30" s="74"/>
      <c r="F30" s="19">
        <v>0.9</v>
      </c>
      <c r="G30" s="58">
        <v>57.3</v>
      </c>
      <c r="H30" s="59">
        <v>6</v>
      </c>
      <c r="I30" s="59">
        <v>36.200000000000003</v>
      </c>
      <c r="J30" s="59">
        <v>0.5</v>
      </c>
      <c r="K30" s="60"/>
      <c r="L30" s="18"/>
      <c r="M30" s="19"/>
      <c r="N30" s="24" t="s">
        <v>309</v>
      </c>
    </row>
    <row r="31" spans="1:19" x14ac:dyDescent="0.25">
      <c r="A31" s="99"/>
      <c r="B31" s="47" t="s">
        <v>508</v>
      </c>
      <c r="C31" s="18">
        <v>7</v>
      </c>
      <c r="D31" s="73">
        <v>78.7</v>
      </c>
      <c r="E31" s="74">
        <v>13.4</v>
      </c>
      <c r="F31" s="19">
        <v>0.9</v>
      </c>
      <c r="G31" s="58">
        <v>57.3</v>
      </c>
      <c r="H31" s="59">
        <v>6</v>
      </c>
      <c r="I31" s="59">
        <v>36.200000000000003</v>
      </c>
      <c r="J31" s="59">
        <v>0.5</v>
      </c>
      <c r="K31" s="60"/>
      <c r="L31" s="18"/>
      <c r="M31" s="19"/>
      <c r="N31" s="24" t="s">
        <v>309</v>
      </c>
    </row>
    <row r="32" spans="1:19" x14ac:dyDescent="0.25">
      <c r="A32" s="99"/>
      <c r="B32" s="47" t="s">
        <v>505</v>
      </c>
      <c r="C32" s="18"/>
      <c r="D32" s="73">
        <v>83</v>
      </c>
      <c r="E32" s="74">
        <v>16.8</v>
      </c>
      <c r="F32" s="19">
        <v>0.2</v>
      </c>
      <c r="G32" s="58">
        <v>50.2</v>
      </c>
      <c r="H32" s="59">
        <v>6.1</v>
      </c>
      <c r="I32" s="59">
        <v>43.4</v>
      </c>
      <c r="J32" s="59">
        <v>0.1</v>
      </c>
      <c r="K32" s="60"/>
      <c r="L32" s="18"/>
      <c r="M32" s="19"/>
      <c r="N32" s="24" t="s">
        <v>309</v>
      </c>
    </row>
    <row r="33" spans="1:16" x14ac:dyDescent="0.25">
      <c r="A33" s="99"/>
      <c r="B33" s="47" t="s">
        <v>562</v>
      </c>
      <c r="C33" s="18">
        <v>7.52</v>
      </c>
      <c r="D33" s="73">
        <v>84.76</v>
      </c>
      <c r="E33" s="74">
        <v>14.96</v>
      </c>
      <c r="F33" s="19">
        <v>0.33</v>
      </c>
      <c r="G33" s="58">
        <v>47.1</v>
      </c>
      <c r="H33" s="59">
        <v>5.9</v>
      </c>
      <c r="I33" s="59">
        <v>46.4</v>
      </c>
      <c r="J33" s="59">
        <v>0.04</v>
      </c>
      <c r="K33" s="60"/>
      <c r="L33" s="18"/>
      <c r="M33" s="19">
        <v>18.29</v>
      </c>
      <c r="N33" s="24" t="s">
        <v>570</v>
      </c>
    </row>
    <row r="34" spans="1:16" x14ac:dyDescent="0.25">
      <c r="A34" s="99"/>
      <c r="B34" s="47" t="s">
        <v>897</v>
      </c>
      <c r="C34" s="18"/>
      <c r="D34" s="73">
        <v>87.47</v>
      </c>
      <c r="E34" s="74">
        <v>10.93</v>
      </c>
      <c r="F34" s="19">
        <v>1.6</v>
      </c>
      <c r="G34" s="58">
        <v>48.23</v>
      </c>
      <c r="H34" s="59">
        <v>6.5</v>
      </c>
      <c r="I34" s="59">
        <v>43.7</v>
      </c>
      <c r="J34" s="59">
        <v>0.14000000000000001</v>
      </c>
      <c r="K34" s="60"/>
      <c r="L34" s="18"/>
      <c r="M34" s="19">
        <v>19.600000000000001</v>
      </c>
      <c r="N34" s="24" t="s">
        <v>791</v>
      </c>
      <c r="P34" s="6" t="s">
        <v>133</v>
      </c>
    </row>
    <row r="35" spans="1:16" x14ac:dyDescent="0.25">
      <c r="A35" s="99"/>
      <c r="B35" s="47" t="s">
        <v>898</v>
      </c>
      <c r="C35" s="18"/>
      <c r="D35" s="73">
        <v>85.45</v>
      </c>
      <c r="E35" s="74">
        <v>13.15</v>
      </c>
      <c r="F35" s="19">
        <v>1.4</v>
      </c>
      <c r="G35" s="58">
        <v>47.49</v>
      </c>
      <c r="H35" s="59">
        <v>6.61</v>
      </c>
      <c r="I35" s="59">
        <v>43</v>
      </c>
      <c r="J35" s="59">
        <v>1.33</v>
      </c>
      <c r="K35" s="60"/>
      <c r="L35" s="18"/>
      <c r="M35" s="19">
        <v>19.829999999999998</v>
      </c>
      <c r="N35" s="24" t="s">
        <v>791</v>
      </c>
      <c r="P35" s="6" t="s">
        <v>868</v>
      </c>
    </row>
    <row r="36" spans="1:16" x14ac:dyDescent="0.25">
      <c r="A36" s="99"/>
      <c r="B36" s="47" t="s">
        <v>899</v>
      </c>
      <c r="C36" s="18"/>
      <c r="D36" s="73">
        <v>83.88</v>
      </c>
      <c r="E36" s="74">
        <v>15.8</v>
      </c>
      <c r="F36" s="19">
        <v>0.32</v>
      </c>
      <c r="G36" s="58">
        <v>52.4</v>
      </c>
      <c r="H36" s="59">
        <v>6.02</v>
      </c>
      <c r="I36" s="59">
        <v>41</v>
      </c>
      <c r="J36" s="59">
        <v>0.1</v>
      </c>
      <c r="K36" s="60"/>
      <c r="L36" s="18"/>
      <c r="M36" s="19">
        <v>20.52</v>
      </c>
      <c r="N36" s="24" t="s">
        <v>791</v>
      </c>
    </row>
    <row r="37" spans="1:16" x14ac:dyDescent="0.25">
      <c r="A37" s="99"/>
      <c r="B37" s="24" t="s">
        <v>1</v>
      </c>
      <c r="C37" s="18">
        <v>7.6</v>
      </c>
      <c r="D37" s="73">
        <v>86.9</v>
      </c>
      <c r="E37" s="74"/>
      <c r="F37" s="19">
        <v>5.5</v>
      </c>
      <c r="G37" s="58">
        <v>52.8</v>
      </c>
      <c r="H37" s="59">
        <v>6.1</v>
      </c>
      <c r="I37" s="59">
        <v>40.5</v>
      </c>
      <c r="J37" s="59">
        <v>0.5</v>
      </c>
      <c r="K37" s="60">
        <v>0.1</v>
      </c>
      <c r="L37" s="18"/>
      <c r="M37" s="19">
        <v>19.5</v>
      </c>
      <c r="N37" s="24" t="s">
        <v>22</v>
      </c>
    </row>
    <row r="38" spans="1:16" x14ac:dyDescent="0.25">
      <c r="A38" s="99"/>
      <c r="B38" s="24" t="s">
        <v>318</v>
      </c>
      <c r="C38" s="18">
        <v>6.8</v>
      </c>
      <c r="D38" s="73">
        <v>91.2</v>
      </c>
      <c r="E38" s="74"/>
      <c r="F38" s="19">
        <v>2</v>
      </c>
      <c r="G38" s="58">
        <v>51.6</v>
      </c>
      <c r="H38" s="59">
        <v>6.1</v>
      </c>
      <c r="I38" s="59">
        <v>41.7</v>
      </c>
      <c r="J38" s="59">
        <v>0.6</v>
      </c>
      <c r="K38" s="60">
        <v>0</v>
      </c>
      <c r="L38" s="18"/>
      <c r="M38" s="19">
        <v>20</v>
      </c>
      <c r="N38" s="24" t="s">
        <v>22</v>
      </c>
    </row>
    <row r="39" spans="1:16" x14ac:dyDescent="0.25">
      <c r="A39" s="99"/>
      <c r="B39" s="24" t="s">
        <v>317</v>
      </c>
      <c r="C39" s="18">
        <v>8.1</v>
      </c>
      <c r="D39" s="73"/>
      <c r="E39" s="74"/>
      <c r="F39" s="19">
        <v>1.1000000000000001</v>
      </c>
      <c r="G39" s="58">
        <v>51.9</v>
      </c>
      <c r="H39" s="59">
        <v>7.7</v>
      </c>
      <c r="I39" s="59">
        <v>39.299999999999997</v>
      </c>
      <c r="J39" s="59">
        <v>1.1000000000000001</v>
      </c>
      <c r="K39" s="60"/>
      <c r="L39" s="18"/>
      <c r="M39" s="19"/>
      <c r="N39" s="24" t="s">
        <v>309</v>
      </c>
    </row>
    <row r="40" spans="1:16" x14ac:dyDescent="0.25">
      <c r="A40" s="99"/>
      <c r="B40" s="24" t="s">
        <v>509</v>
      </c>
      <c r="C40" s="18">
        <v>8.1</v>
      </c>
      <c r="D40" s="73">
        <v>82.1</v>
      </c>
      <c r="E40" s="74">
        <v>8.6999999999999993</v>
      </c>
      <c r="F40" s="19">
        <v>1.1000000000000001</v>
      </c>
      <c r="G40" s="58">
        <v>51.9</v>
      </c>
      <c r="H40" s="59">
        <v>7.7</v>
      </c>
      <c r="I40" s="59">
        <v>39.299999999999997</v>
      </c>
      <c r="J40" s="59">
        <v>1.1000000000000001</v>
      </c>
      <c r="K40" s="60"/>
      <c r="L40" s="18"/>
      <c r="M40" s="19"/>
      <c r="N40" s="24" t="s">
        <v>309</v>
      </c>
      <c r="P40" s="6" t="s">
        <v>131</v>
      </c>
    </row>
    <row r="41" spans="1:16" x14ac:dyDescent="0.25">
      <c r="A41" s="99"/>
      <c r="B41" s="24" t="s">
        <v>561</v>
      </c>
      <c r="C41" s="18">
        <v>0.1</v>
      </c>
      <c r="D41" s="73">
        <v>89.2</v>
      </c>
      <c r="E41" s="74">
        <v>10.91</v>
      </c>
      <c r="F41" s="19">
        <v>0.61</v>
      </c>
      <c r="G41" s="58">
        <v>46.7</v>
      </c>
      <c r="H41" s="59">
        <v>6.2</v>
      </c>
      <c r="I41" s="59">
        <v>46.5</v>
      </c>
      <c r="J41" s="59">
        <v>0.2</v>
      </c>
      <c r="K41" s="60"/>
      <c r="L41" s="18"/>
      <c r="M41" s="19">
        <v>18.8</v>
      </c>
      <c r="N41" s="24" t="s">
        <v>570</v>
      </c>
    </row>
    <row r="42" spans="1:16" x14ac:dyDescent="0.25">
      <c r="A42" s="99"/>
      <c r="B42" s="24" t="s">
        <v>622</v>
      </c>
      <c r="C42" s="18">
        <v>6.8</v>
      </c>
      <c r="D42" s="73">
        <v>79.7</v>
      </c>
      <c r="E42" s="74">
        <v>11.5</v>
      </c>
      <c r="F42" s="19">
        <v>2</v>
      </c>
      <c r="G42" s="58">
        <v>51.6</v>
      </c>
      <c r="H42" s="59">
        <v>6.1</v>
      </c>
      <c r="I42" s="59">
        <v>41.7</v>
      </c>
      <c r="J42" s="59">
        <v>0.6</v>
      </c>
      <c r="K42" s="60">
        <v>0.02</v>
      </c>
      <c r="L42" s="18"/>
      <c r="M42" s="19"/>
      <c r="N42" s="24" t="s">
        <v>624</v>
      </c>
    </row>
    <row r="43" spans="1:16" x14ac:dyDescent="0.25">
      <c r="A43" s="99"/>
      <c r="B43" s="24" t="s">
        <v>623</v>
      </c>
      <c r="C43" s="18"/>
      <c r="D43" s="73">
        <v>85.6</v>
      </c>
      <c r="E43" s="74">
        <v>12.3</v>
      </c>
      <c r="F43" s="19">
        <v>2.1</v>
      </c>
      <c r="G43" s="58">
        <v>51.6</v>
      </c>
      <c r="H43" s="59">
        <v>6.1</v>
      </c>
      <c r="I43" s="59">
        <v>41.7</v>
      </c>
      <c r="J43" s="59">
        <v>0.6</v>
      </c>
      <c r="K43" s="60">
        <v>0.02</v>
      </c>
      <c r="L43" s="18"/>
      <c r="M43" s="19"/>
      <c r="N43" s="24" t="s">
        <v>579</v>
      </c>
    </row>
    <row r="44" spans="1:16" x14ac:dyDescent="0.25">
      <c r="A44" s="99"/>
      <c r="B44" s="24" t="s">
        <v>896</v>
      </c>
      <c r="C44" s="18"/>
      <c r="D44" s="73">
        <v>84.81</v>
      </c>
      <c r="E44" s="74">
        <v>12.49</v>
      </c>
      <c r="F44" s="19">
        <v>2.7</v>
      </c>
      <c r="G44" s="58">
        <v>50.18</v>
      </c>
      <c r="H44" s="59">
        <v>6.06</v>
      </c>
      <c r="I44" s="59">
        <v>40.43</v>
      </c>
      <c r="J44" s="59">
        <v>0.6</v>
      </c>
      <c r="K44" s="60"/>
      <c r="L44" s="18"/>
      <c r="M44" s="19">
        <v>19.02</v>
      </c>
      <c r="N44" s="24" t="s">
        <v>791</v>
      </c>
      <c r="P44" s="6" t="s">
        <v>500</v>
      </c>
    </row>
    <row r="45" spans="1:16" x14ac:dyDescent="0.25">
      <c r="A45" s="99"/>
      <c r="B45" s="24" t="s">
        <v>908</v>
      </c>
      <c r="C45" s="18">
        <v>6.7</v>
      </c>
      <c r="D45" s="73">
        <v>92.8</v>
      </c>
      <c r="E45" s="74"/>
      <c r="F45" s="19">
        <v>0.5</v>
      </c>
      <c r="G45" s="58">
        <v>52.3</v>
      </c>
      <c r="H45" s="59">
        <v>6.1</v>
      </c>
      <c r="I45" s="59">
        <v>41.2</v>
      </c>
      <c r="J45" s="59">
        <v>0.3</v>
      </c>
      <c r="K45" s="60">
        <v>0.1</v>
      </c>
      <c r="L45" s="18"/>
      <c r="M45" s="19">
        <v>20.5</v>
      </c>
      <c r="N45" s="24" t="s">
        <v>22</v>
      </c>
    </row>
    <row r="46" spans="1:16" x14ac:dyDescent="0.25">
      <c r="A46" s="99"/>
      <c r="B46" s="24" t="s">
        <v>909</v>
      </c>
      <c r="C46" s="18"/>
      <c r="D46" s="73">
        <v>70.2</v>
      </c>
      <c r="E46" s="74">
        <v>28.3</v>
      </c>
      <c r="F46" s="19">
        <v>1.5</v>
      </c>
      <c r="G46" s="58">
        <v>51.9</v>
      </c>
      <c r="H46" s="59">
        <v>6.1</v>
      </c>
      <c r="I46" s="59">
        <v>40.9</v>
      </c>
      <c r="J46" s="59">
        <v>0.3</v>
      </c>
      <c r="K46" s="60"/>
      <c r="L46" s="18"/>
      <c r="M46" s="19">
        <v>20.36</v>
      </c>
      <c r="N46" s="24" t="s">
        <v>791</v>
      </c>
      <c r="P46" s="6" t="s">
        <v>473</v>
      </c>
    </row>
    <row r="47" spans="1:16" x14ac:dyDescent="0.25">
      <c r="A47" s="99"/>
      <c r="B47" s="24" t="s">
        <v>627</v>
      </c>
      <c r="C47" s="18">
        <v>6.7</v>
      </c>
      <c r="D47" s="73">
        <v>75.7</v>
      </c>
      <c r="E47" s="74">
        <v>17.100000000000001</v>
      </c>
      <c r="F47" s="19">
        <v>0.5</v>
      </c>
      <c r="G47" s="58">
        <v>52.3</v>
      </c>
      <c r="H47" s="59">
        <v>6.1</v>
      </c>
      <c r="I47" s="59">
        <v>41.2</v>
      </c>
      <c r="J47" s="59">
        <v>0.3</v>
      </c>
      <c r="K47" s="60">
        <v>0.1</v>
      </c>
      <c r="L47" s="18"/>
      <c r="M47" s="19"/>
      <c r="N47" s="24" t="s">
        <v>579</v>
      </c>
    </row>
    <row r="48" spans="1:16" x14ac:dyDescent="0.25">
      <c r="A48" s="99"/>
      <c r="B48" s="24" t="s">
        <v>628</v>
      </c>
      <c r="C48" s="18"/>
      <c r="D48" s="73">
        <v>81.2</v>
      </c>
      <c r="E48" s="74">
        <v>18.3</v>
      </c>
      <c r="F48" s="19">
        <v>0.5</v>
      </c>
      <c r="G48" s="58">
        <v>52.3</v>
      </c>
      <c r="H48" s="59">
        <v>6.1</v>
      </c>
      <c r="I48" s="59">
        <v>41.2</v>
      </c>
      <c r="J48" s="59">
        <v>0.3</v>
      </c>
      <c r="K48" s="60">
        <v>0.1</v>
      </c>
      <c r="L48" s="18"/>
      <c r="M48" s="19"/>
      <c r="N48" s="24" t="s">
        <v>579</v>
      </c>
    </row>
    <row r="49" spans="1:16" x14ac:dyDescent="0.25">
      <c r="A49" s="99"/>
      <c r="B49" s="24" t="s">
        <v>298</v>
      </c>
      <c r="C49" s="18">
        <v>8.25</v>
      </c>
      <c r="D49" s="73"/>
      <c r="E49" s="74"/>
      <c r="F49" s="19">
        <v>0.53</v>
      </c>
      <c r="G49" s="58">
        <v>49.41</v>
      </c>
      <c r="H49" s="59">
        <v>6.73</v>
      </c>
      <c r="I49" s="59">
        <v>42.96</v>
      </c>
      <c r="J49" s="59">
        <v>0.16</v>
      </c>
      <c r="K49" s="60"/>
      <c r="L49" s="18"/>
      <c r="M49" s="19">
        <v>18.22</v>
      </c>
      <c r="N49" s="24" t="s">
        <v>299</v>
      </c>
    </row>
    <row r="50" spans="1:16" x14ac:dyDescent="0.25">
      <c r="A50" s="99"/>
      <c r="B50" s="24" t="s">
        <v>112</v>
      </c>
      <c r="C50" s="18">
        <v>5.9</v>
      </c>
      <c r="D50" s="73">
        <v>84</v>
      </c>
      <c r="E50" s="74"/>
      <c r="F50" s="19">
        <v>0.82</v>
      </c>
      <c r="G50" s="58">
        <v>48.26</v>
      </c>
      <c r="H50" s="59">
        <v>5.8</v>
      </c>
      <c r="I50" s="59">
        <v>44.8</v>
      </c>
      <c r="J50" s="59">
        <v>0.28999999999999998</v>
      </c>
      <c r="K50" s="60">
        <v>0.03</v>
      </c>
      <c r="L50" s="18">
        <v>17.399999999999999</v>
      </c>
      <c r="M50" s="19"/>
      <c r="N50" s="24" t="s">
        <v>113</v>
      </c>
    </row>
    <row r="51" spans="1:16" x14ac:dyDescent="0.25">
      <c r="A51" s="99"/>
      <c r="B51" s="24" t="s">
        <v>889</v>
      </c>
      <c r="C51" s="18"/>
      <c r="D51" s="73">
        <v>74</v>
      </c>
      <c r="E51" s="74">
        <v>24.6</v>
      </c>
      <c r="F51" s="19">
        <v>1.4</v>
      </c>
      <c r="G51" s="58">
        <v>48.82</v>
      </c>
      <c r="H51" s="59">
        <v>6.11</v>
      </c>
      <c r="I51" s="59">
        <v>40.630000000000003</v>
      </c>
      <c r="J51" s="59">
        <v>0.39</v>
      </c>
      <c r="K51" s="60"/>
      <c r="L51" s="18"/>
      <c r="M51" s="19">
        <v>19.2</v>
      </c>
      <c r="N51" s="24" t="s">
        <v>791</v>
      </c>
      <c r="P51" s="6" t="s">
        <v>473</v>
      </c>
    </row>
    <row r="52" spans="1:16" ht="17.45" customHeight="1" x14ac:dyDescent="0.25">
      <c r="A52" s="99"/>
      <c r="B52" s="24" t="s">
        <v>119</v>
      </c>
      <c r="C52" s="18">
        <v>34</v>
      </c>
      <c r="D52" s="73"/>
      <c r="E52" s="74"/>
      <c r="F52" s="19">
        <v>0.9</v>
      </c>
      <c r="G52" s="58">
        <v>41</v>
      </c>
      <c r="H52" s="59">
        <v>6.9</v>
      </c>
      <c r="I52" s="59">
        <v>51.1</v>
      </c>
      <c r="J52" s="59">
        <v>1</v>
      </c>
      <c r="K52" s="60"/>
      <c r="L52" s="18"/>
      <c r="M52" s="19">
        <v>14.398</v>
      </c>
      <c r="N52" s="24" t="s">
        <v>120</v>
      </c>
      <c r="P52" s="6" t="s">
        <v>131</v>
      </c>
    </row>
    <row r="53" spans="1:16" ht="17.45" customHeight="1" x14ac:dyDescent="0.25">
      <c r="A53" s="99"/>
      <c r="B53" s="24" t="s">
        <v>519</v>
      </c>
      <c r="C53" s="18">
        <v>7.8</v>
      </c>
      <c r="D53" s="73"/>
      <c r="E53" s="74"/>
      <c r="F53" s="19">
        <v>0.57999999999999996</v>
      </c>
      <c r="G53" s="58">
        <v>47.6</v>
      </c>
      <c r="H53" s="59">
        <v>5.93</v>
      </c>
      <c r="I53" s="59">
        <v>46.31</v>
      </c>
      <c r="J53" s="59">
        <v>0.14000000000000001</v>
      </c>
      <c r="K53" s="60">
        <v>0.02</v>
      </c>
      <c r="L53" s="18"/>
      <c r="M53" s="19"/>
      <c r="N53" s="24" t="s">
        <v>309</v>
      </c>
      <c r="P53" s="6" t="s">
        <v>316</v>
      </c>
    </row>
    <row r="54" spans="1:16" ht="17.45" customHeight="1" x14ac:dyDescent="0.25">
      <c r="A54" s="99"/>
      <c r="B54" s="24" t="s">
        <v>890</v>
      </c>
      <c r="C54" s="18"/>
      <c r="D54" s="73">
        <v>72.3</v>
      </c>
      <c r="E54" s="74">
        <v>25</v>
      </c>
      <c r="F54" s="19">
        <v>2.7</v>
      </c>
      <c r="G54" s="58">
        <v>47.32</v>
      </c>
      <c r="H54" s="59">
        <v>6.04</v>
      </c>
      <c r="I54" s="59">
        <v>40.020000000000003</v>
      </c>
      <c r="J54" s="59">
        <v>0.39</v>
      </c>
      <c r="K54" s="60"/>
      <c r="L54" s="18"/>
      <c r="M54" s="19">
        <v>18.8</v>
      </c>
      <c r="N54" s="24" t="s">
        <v>791</v>
      </c>
      <c r="P54" s="6" t="s">
        <v>473</v>
      </c>
    </row>
    <row r="55" spans="1:16" ht="17.45" customHeight="1" x14ac:dyDescent="0.25">
      <c r="A55" s="99"/>
      <c r="B55" s="24" t="s">
        <v>895</v>
      </c>
      <c r="C55" s="18"/>
      <c r="D55" s="73">
        <v>84.8</v>
      </c>
      <c r="E55" s="74">
        <v>15.2</v>
      </c>
      <c r="F55" s="19">
        <v>2.2000000000000002</v>
      </c>
      <c r="G55" s="58">
        <v>50.4</v>
      </c>
      <c r="H55" s="59">
        <v>5.8</v>
      </c>
      <c r="I55" s="59">
        <v>41.4</v>
      </c>
      <c r="J55" s="59">
        <v>0.1</v>
      </c>
      <c r="K55" s="60"/>
      <c r="L55" s="18"/>
      <c r="M55" s="19">
        <v>20.3</v>
      </c>
      <c r="N55" s="24" t="s">
        <v>791</v>
      </c>
      <c r="P55" s="6" t="s">
        <v>500</v>
      </c>
    </row>
    <row r="56" spans="1:16" ht="17.45" customHeight="1" x14ac:dyDescent="0.25">
      <c r="A56" s="99"/>
      <c r="B56" s="24" t="s">
        <v>891</v>
      </c>
      <c r="C56" s="18"/>
      <c r="D56" s="73">
        <v>78.94</v>
      </c>
      <c r="E56" s="74">
        <v>19.66</v>
      </c>
      <c r="F56" s="19">
        <v>1.4</v>
      </c>
      <c r="G56" s="58">
        <v>48.61</v>
      </c>
      <c r="H56" s="59">
        <v>5.83</v>
      </c>
      <c r="I56" s="59">
        <v>43.36</v>
      </c>
      <c r="J56" s="59">
        <v>0.59</v>
      </c>
      <c r="K56" s="60"/>
      <c r="L56" s="18"/>
      <c r="M56" s="19">
        <v>19.440000000000001</v>
      </c>
      <c r="N56" s="24" t="s">
        <v>791</v>
      </c>
      <c r="P56" s="6" t="s">
        <v>500</v>
      </c>
    </row>
    <row r="57" spans="1:16" ht="17.45" customHeight="1" x14ac:dyDescent="0.25">
      <c r="A57" s="99"/>
      <c r="B57" s="24" t="s">
        <v>892</v>
      </c>
      <c r="C57" s="18"/>
      <c r="D57" s="73">
        <v>71.569999999999993</v>
      </c>
      <c r="E57" s="74">
        <v>20.53</v>
      </c>
      <c r="F57" s="19">
        <v>7.9</v>
      </c>
      <c r="G57" s="58">
        <v>42.99</v>
      </c>
      <c r="H57" s="59">
        <v>5.25</v>
      </c>
      <c r="I57" s="59">
        <v>42.47</v>
      </c>
      <c r="J57" s="59">
        <v>0.74</v>
      </c>
      <c r="K57" s="60"/>
      <c r="L57" s="18"/>
      <c r="M57" s="19">
        <v>17.809999999999999</v>
      </c>
      <c r="N57" s="24" t="s">
        <v>791</v>
      </c>
      <c r="P57" s="6" t="s">
        <v>500</v>
      </c>
    </row>
    <row r="58" spans="1:16" ht="17.45" customHeight="1" x14ac:dyDescent="0.25">
      <c r="A58" s="99"/>
      <c r="B58" s="24" t="s">
        <v>893</v>
      </c>
      <c r="C58" s="18"/>
      <c r="D58" s="73">
        <v>74.56</v>
      </c>
      <c r="E58" s="74">
        <v>12.32</v>
      </c>
      <c r="F58" s="19">
        <v>13.12</v>
      </c>
      <c r="G58" s="58">
        <v>46.3</v>
      </c>
      <c r="H58" s="59">
        <v>5.39</v>
      </c>
      <c r="I58" s="59">
        <v>34.450000000000003</v>
      </c>
      <c r="J58" s="59">
        <v>0.56999999999999995</v>
      </c>
      <c r="K58" s="60"/>
      <c r="L58" s="18"/>
      <c r="M58" s="19">
        <v>18.41</v>
      </c>
      <c r="N58" s="24" t="s">
        <v>791</v>
      </c>
      <c r="P58" s="6" t="s">
        <v>500</v>
      </c>
    </row>
    <row r="59" spans="1:16" ht="17.45" customHeight="1" x14ac:dyDescent="0.25">
      <c r="A59" s="99"/>
      <c r="B59" s="24" t="s">
        <v>894</v>
      </c>
      <c r="C59" s="18"/>
      <c r="D59" s="73">
        <v>81.599999999999994</v>
      </c>
      <c r="E59" s="74">
        <v>17.3</v>
      </c>
      <c r="F59" s="19">
        <v>1.1000000000000001</v>
      </c>
      <c r="G59" s="58">
        <v>48.18</v>
      </c>
      <c r="H59" s="59">
        <v>5.92</v>
      </c>
      <c r="I59" s="59">
        <v>44.18</v>
      </c>
      <c r="J59" s="59">
        <v>0.39</v>
      </c>
      <c r="K59" s="60"/>
      <c r="L59" s="18"/>
      <c r="M59" s="19">
        <v>19.23</v>
      </c>
      <c r="N59" s="24" t="s">
        <v>791</v>
      </c>
      <c r="P59" s="6" t="s">
        <v>500</v>
      </c>
    </row>
    <row r="60" spans="1:16" ht="17.45" customHeight="1" x14ac:dyDescent="0.25">
      <c r="A60" s="99"/>
      <c r="B60" s="24" t="s">
        <v>614</v>
      </c>
      <c r="C60" s="18">
        <v>6.6</v>
      </c>
      <c r="D60" s="73">
        <v>74.3</v>
      </c>
      <c r="E60" s="74">
        <v>16.100000000000001</v>
      </c>
      <c r="F60" s="19">
        <v>3</v>
      </c>
      <c r="G60" s="58">
        <v>49</v>
      </c>
      <c r="H60" s="59">
        <v>5.4</v>
      </c>
      <c r="I60" s="59">
        <v>44.9</v>
      </c>
      <c r="J60" s="59">
        <v>0.7</v>
      </c>
      <c r="K60" s="60">
        <v>0.03</v>
      </c>
      <c r="L60" s="18"/>
      <c r="M60" s="19"/>
      <c r="N60" s="24" t="s">
        <v>579</v>
      </c>
    </row>
    <row r="61" spans="1:16" ht="17.45" customHeight="1" x14ac:dyDescent="0.25">
      <c r="A61" s="99"/>
      <c r="B61" s="24" t="s">
        <v>615</v>
      </c>
      <c r="C61" s="18"/>
      <c r="D61" s="73">
        <v>79.599999999999994</v>
      </c>
      <c r="E61" s="74">
        <v>17.2</v>
      </c>
      <c r="F61" s="19">
        <v>3.2</v>
      </c>
      <c r="G61" s="58">
        <v>49</v>
      </c>
      <c r="H61" s="59">
        <v>5.4</v>
      </c>
      <c r="I61" s="59">
        <v>44.9</v>
      </c>
      <c r="J61" s="59">
        <v>0.7</v>
      </c>
      <c r="K61" s="60">
        <v>0.03</v>
      </c>
      <c r="L61" s="18"/>
      <c r="M61" s="19"/>
      <c r="N61" s="24" t="s">
        <v>579</v>
      </c>
    </row>
    <row r="62" spans="1:16" ht="17.45" customHeight="1" x14ac:dyDescent="0.25">
      <c r="A62" s="99"/>
      <c r="B62" s="24" t="s">
        <v>902</v>
      </c>
      <c r="C62" s="18"/>
      <c r="D62" s="73"/>
      <c r="E62" s="74"/>
      <c r="F62" s="19">
        <v>0.5</v>
      </c>
      <c r="G62" s="58">
        <v>48.8</v>
      </c>
      <c r="H62" s="59">
        <v>5.6</v>
      </c>
      <c r="I62" s="59">
        <v>45.6</v>
      </c>
      <c r="J62" s="59">
        <v>0</v>
      </c>
      <c r="K62" s="60"/>
      <c r="L62" s="18"/>
      <c r="M62" s="19">
        <v>20.5</v>
      </c>
      <c r="N62" s="24" t="s">
        <v>791</v>
      </c>
      <c r="P62" s="6" t="s">
        <v>511</v>
      </c>
    </row>
    <row r="63" spans="1:16" ht="17.45" customHeight="1" x14ac:dyDescent="0.25">
      <c r="A63" s="99"/>
      <c r="B63" s="24" t="s">
        <v>903</v>
      </c>
      <c r="C63" s="18"/>
      <c r="D63" s="73">
        <v>70</v>
      </c>
      <c r="E63" s="74">
        <v>28.1</v>
      </c>
      <c r="F63" s="19">
        <v>1.7</v>
      </c>
      <c r="G63" s="58">
        <v>51.23</v>
      </c>
      <c r="H63" s="59">
        <v>6</v>
      </c>
      <c r="I63" s="59">
        <v>40.31</v>
      </c>
      <c r="J63" s="59">
        <v>0.2</v>
      </c>
      <c r="K63" s="60"/>
      <c r="L63" s="18"/>
      <c r="M63" s="19">
        <v>20</v>
      </c>
      <c r="N63" s="24" t="s">
        <v>791</v>
      </c>
      <c r="P63" s="6" t="s">
        <v>473</v>
      </c>
    </row>
    <row r="64" spans="1:16" ht="17.45" customHeight="1" x14ac:dyDescent="0.25">
      <c r="A64" s="99"/>
      <c r="B64" s="24" t="s">
        <v>904</v>
      </c>
      <c r="C64" s="18"/>
      <c r="D64" s="73">
        <v>84.83</v>
      </c>
      <c r="E64" s="74">
        <v>14.27</v>
      </c>
      <c r="F64" s="19">
        <v>0.9</v>
      </c>
      <c r="G64" s="58">
        <v>48.2</v>
      </c>
      <c r="H64" s="59">
        <v>5.9</v>
      </c>
      <c r="I64" s="59">
        <v>45.1</v>
      </c>
      <c r="J64" s="59">
        <v>0</v>
      </c>
      <c r="K64" s="60"/>
      <c r="L64" s="18"/>
      <c r="M64" s="19">
        <v>19.78</v>
      </c>
      <c r="N64" s="24" t="s">
        <v>791</v>
      </c>
      <c r="P64" s="6" t="s">
        <v>486</v>
      </c>
    </row>
    <row r="65" spans="1:16" ht="17.45" customHeight="1" x14ac:dyDescent="0.25">
      <c r="A65" s="99"/>
      <c r="B65" s="24" t="s">
        <v>602</v>
      </c>
      <c r="C65" s="18">
        <v>37.799999999999997</v>
      </c>
      <c r="D65" s="73">
        <v>46.1</v>
      </c>
      <c r="E65" s="74">
        <v>12.9</v>
      </c>
      <c r="F65" s="19">
        <v>3.2</v>
      </c>
      <c r="G65" s="58">
        <v>54.5</v>
      </c>
      <c r="H65" s="59">
        <v>5.9</v>
      </c>
      <c r="I65" s="59">
        <v>38.700000000000003</v>
      </c>
      <c r="J65" s="59">
        <v>0.5</v>
      </c>
      <c r="K65" s="60">
        <v>0.42</v>
      </c>
      <c r="L65" s="18"/>
      <c r="M65" s="19"/>
      <c r="N65" s="24" t="s">
        <v>579</v>
      </c>
    </row>
    <row r="66" spans="1:16" ht="17.45" customHeight="1" x14ac:dyDescent="0.25">
      <c r="A66" s="99"/>
      <c r="B66" s="24" t="s">
        <v>603</v>
      </c>
      <c r="C66" s="18"/>
      <c r="D66" s="73">
        <v>74.2</v>
      </c>
      <c r="E66" s="74">
        <v>20.7</v>
      </c>
      <c r="F66" s="19">
        <v>5.0999999999999996</v>
      </c>
      <c r="G66" s="58">
        <v>54.5</v>
      </c>
      <c r="H66" s="59">
        <v>5.9</v>
      </c>
      <c r="I66" s="59">
        <v>38.700000000000003</v>
      </c>
      <c r="J66" s="59">
        <v>0.5</v>
      </c>
      <c r="K66" s="60">
        <v>0.42</v>
      </c>
      <c r="L66" s="18"/>
      <c r="M66" s="19"/>
      <c r="N66" s="24" t="s">
        <v>579</v>
      </c>
    </row>
    <row r="67" spans="1:16" ht="17.45" customHeight="1" x14ac:dyDescent="0.25">
      <c r="A67" s="99"/>
      <c r="B67" s="24" t="s">
        <v>629</v>
      </c>
      <c r="C67" s="18">
        <v>10.1</v>
      </c>
      <c r="D67" s="73">
        <v>74.2</v>
      </c>
      <c r="E67" s="74">
        <v>14.3</v>
      </c>
      <c r="F67" s="19">
        <v>1.4</v>
      </c>
      <c r="G67" s="58">
        <v>49.8</v>
      </c>
      <c r="H67" s="59">
        <v>6.1</v>
      </c>
      <c r="I67" s="59">
        <v>43.4</v>
      </c>
      <c r="J67" s="59">
        <v>0.6</v>
      </c>
      <c r="K67" s="60">
        <v>0.06</v>
      </c>
      <c r="L67" s="18"/>
      <c r="M67" s="19"/>
      <c r="N67" s="24" t="s">
        <v>579</v>
      </c>
    </row>
    <row r="68" spans="1:16" ht="17.45" customHeight="1" x14ac:dyDescent="0.25">
      <c r="A68" s="99"/>
      <c r="B68" s="24" t="s">
        <v>630</v>
      </c>
      <c r="C68" s="18"/>
      <c r="D68" s="73">
        <v>82.5</v>
      </c>
      <c r="E68" s="74">
        <v>15.9</v>
      </c>
      <c r="F68" s="19">
        <v>1.6</v>
      </c>
      <c r="G68" s="58">
        <v>49.8</v>
      </c>
      <c r="H68" s="59">
        <v>6.1</v>
      </c>
      <c r="I68" s="59">
        <v>43.4</v>
      </c>
      <c r="J68" s="59">
        <v>0.6</v>
      </c>
      <c r="K68" s="60">
        <v>0.06</v>
      </c>
      <c r="L68" s="18"/>
      <c r="M68" s="19"/>
      <c r="N68" s="24" t="s">
        <v>579</v>
      </c>
    </row>
    <row r="69" spans="1:16" ht="17.45" customHeight="1" x14ac:dyDescent="0.25">
      <c r="A69" s="99"/>
      <c r="B69" s="24" t="s">
        <v>907</v>
      </c>
      <c r="C69" s="18"/>
      <c r="D69" s="73">
        <v>82.22</v>
      </c>
      <c r="E69" s="74">
        <v>16.07</v>
      </c>
      <c r="F69" s="19">
        <v>1.71</v>
      </c>
      <c r="G69" s="58">
        <v>49.9</v>
      </c>
      <c r="H69" s="59">
        <v>5.9</v>
      </c>
      <c r="I69" s="59">
        <v>41.8</v>
      </c>
      <c r="J69" s="59">
        <v>0.61</v>
      </c>
      <c r="K69" s="60"/>
      <c r="L69" s="18"/>
      <c r="M69" s="19">
        <v>19.59</v>
      </c>
      <c r="N69" s="24" t="s">
        <v>791</v>
      </c>
      <c r="P69" s="6" t="s">
        <v>500</v>
      </c>
    </row>
    <row r="70" spans="1:16" ht="17.45" customHeight="1" x14ac:dyDescent="0.25">
      <c r="A70" s="99"/>
      <c r="B70" s="24" t="s">
        <v>311</v>
      </c>
      <c r="C70" s="18">
        <v>4.4000000000000004</v>
      </c>
      <c r="D70" s="73"/>
      <c r="E70" s="74"/>
      <c r="F70" s="19">
        <v>0.7</v>
      </c>
      <c r="G70" s="58">
        <v>49.9</v>
      </c>
      <c r="H70" s="59">
        <v>5.6</v>
      </c>
      <c r="I70" s="59">
        <v>44.3</v>
      </c>
      <c r="J70" s="59">
        <v>0.2</v>
      </c>
      <c r="K70" s="60">
        <v>0</v>
      </c>
      <c r="L70" s="18"/>
      <c r="M70" s="19">
        <v>17</v>
      </c>
      <c r="N70" s="24" t="s">
        <v>309</v>
      </c>
    </row>
    <row r="71" spans="1:16" ht="17.45" customHeight="1" x14ac:dyDescent="0.25">
      <c r="A71" s="99"/>
      <c r="B71" s="24" t="s">
        <v>487</v>
      </c>
      <c r="C71" s="18">
        <v>4.4000000000000004</v>
      </c>
      <c r="D71" s="73">
        <v>84</v>
      </c>
      <c r="E71" s="74"/>
      <c r="F71" s="19">
        <v>0.7</v>
      </c>
      <c r="G71" s="58">
        <v>50.2</v>
      </c>
      <c r="H71" s="59">
        <v>6.2</v>
      </c>
      <c r="I71" s="59">
        <v>44.3</v>
      </c>
      <c r="J71" s="59">
        <v>0.2</v>
      </c>
      <c r="K71" s="60"/>
      <c r="L71" s="18"/>
      <c r="M71" s="19">
        <v>17</v>
      </c>
      <c r="N71" s="24" t="s">
        <v>309</v>
      </c>
      <c r="P71" s="6" t="s">
        <v>316</v>
      </c>
    </row>
    <row r="72" spans="1:16" x14ac:dyDescent="0.25">
      <c r="A72" s="100"/>
      <c r="B72" s="51" t="s">
        <v>312</v>
      </c>
      <c r="C72" s="26">
        <v>10.1</v>
      </c>
      <c r="D72" s="27">
        <v>88.5</v>
      </c>
      <c r="E72" s="35"/>
      <c r="F72" s="28">
        <v>1.4</v>
      </c>
      <c r="G72" s="61">
        <v>49.8</v>
      </c>
      <c r="H72" s="62">
        <v>6.1</v>
      </c>
      <c r="I72" s="62">
        <v>43.4</v>
      </c>
      <c r="J72" s="62">
        <v>0.6</v>
      </c>
      <c r="K72" s="63">
        <v>0.1</v>
      </c>
      <c r="L72" s="26"/>
      <c r="M72" s="28">
        <v>20.8</v>
      </c>
      <c r="N72" s="51" t="s">
        <v>22</v>
      </c>
    </row>
    <row r="73" spans="1:16" x14ac:dyDescent="0.25">
      <c r="A73" s="98" t="s">
        <v>5</v>
      </c>
      <c r="B73" s="50" t="s">
        <v>5</v>
      </c>
      <c r="C73" s="37">
        <v>12.4</v>
      </c>
      <c r="D73" s="32">
        <v>81.099999999999994</v>
      </c>
      <c r="E73" s="30"/>
      <c r="F73" s="33">
        <v>9.5</v>
      </c>
      <c r="G73" s="64">
        <v>48.8</v>
      </c>
      <c r="H73" s="65">
        <v>5.6</v>
      </c>
      <c r="I73" s="65">
        <v>44.5</v>
      </c>
      <c r="J73" s="65">
        <v>1</v>
      </c>
      <c r="K73" s="66">
        <v>0.1</v>
      </c>
      <c r="L73" s="37"/>
      <c r="M73" s="33">
        <v>17.100000000000001</v>
      </c>
      <c r="N73" s="50" t="s">
        <v>22</v>
      </c>
    </row>
    <row r="74" spans="1:16" x14ac:dyDescent="0.25">
      <c r="A74" s="99"/>
      <c r="B74" s="24" t="s">
        <v>660</v>
      </c>
      <c r="C74" s="18">
        <v>9.3000000000000007</v>
      </c>
      <c r="D74" s="73">
        <v>71.599999999999994</v>
      </c>
      <c r="E74" s="74">
        <v>14.3</v>
      </c>
      <c r="F74" s="19">
        <v>4.8</v>
      </c>
      <c r="G74" s="58">
        <v>49.9</v>
      </c>
      <c r="H74" s="59">
        <v>6.3</v>
      </c>
      <c r="I74" s="59">
        <v>40.799999999999997</v>
      </c>
      <c r="J74" s="59">
        <v>2.8</v>
      </c>
      <c r="K74" s="60">
        <v>0.21</v>
      </c>
      <c r="L74" s="18"/>
      <c r="M74" s="19"/>
      <c r="N74" s="24" t="s">
        <v>579</v>
      </c>
    </row>
    <row r="75" spans="1:16" x14ac:dyDescent="0.25">
      <c r="A75" s="99"/>
      <c r="B75" s="24" t="s">
        <v>659</v>
      </c>
      <c r="C75" s="18"/>
      <c r="D75" s="73">
        <v>78</v>
      </c>
      <c r="E75" s="74">
        <v>15.8</v>
      </c>
      <c r="F75" s="19">
        <v>5.3</v>
      </c>
      <c r="G75" s="58">
        <v>49.9</v>
      </c>
      <c r="H75" s="59">
        <v>6.3</v>
      </c>
      <c r="I75" s="59">
        <v>40.799999999999997</v>
      </c>
      <c r="J75" s="59">
        <v>2.8</v>
      </c>
      <c r="K75" s="60">
        <v>0.21</v>
      </c>
      <c r="L75" s="18"/>
      <c r="M75" s="19"/>
      <c r="N75" s="24" t="s">
        <v>579</v>
      </c>
    </row>
    <row r="76" spans="1:16" x14ac:dyDescent="0.25">
      <c r="A76" s="99"/>
      <c r="B76" s="24" t="s">
        <v>658</v>
      </c>
      <c r="C76" s="18">
        <v>11.5</v>
      </c>
      <c r="D76" s="73">
        <v>67.400000000000006</v>
      </c>
      <c r="E76" s="74">
        <v>16.399999999999999</v>
      </c>
      <c r="F76" s="19">
        <v>4.7</v>
      </c>
      <c r="G76" s="58">
        <v>49.4</v>
      </c>
      <c r="H76" s="59">
        <v>6.2</v>
      </c>
      <c r="I76" s="59">
        <v>43.6</v>
      </c>
      <c r="J76" s="59">
        <v>0.7</v>
      </c>
      <c r="K76" s="60">
        <v>0.13</v>
      </c>
      <c r="L76" s="18"/>
      <c r="M76" s="19"/>
      <c r="N76" s="24" t="s">
        <v>579</v>
      </c>
    </row>
    <row r="77" spans="1:16" x14ac:dyDescent="0.25">
      <c r="A77" s="99"/>
      <c r="B77" s="24" t="s">
        <v>657</v>
      </c>
      <c r="C77" s="18"/>
      <c r="D77" s="73">
        <v>76.2</v>
      </c>
      <c r="E77" s="74">
        <v>18.5</v>
      </c>
      <c r="F77" s="19">
        <v>5.3</v>
      </c>
      <c r="G77" s="58">
        <v>49.4</v>
      </c>
      <c r="H77" s="59">
        <v>6.2</v>
      </c>
      <c r="I77" s="59">
        <v>43.6</v>
      </c>
      <c r="J77" s="59">
        <v>0.7</v>
      </c>
      <c r="K77" s="60">
        <v>0.13</v>
      </c>
      <c r="L77" s="18"/>
      <c r="M77" s="19"/>
      <c r="N77" s="24" t="s">
        <v>579</v>
      </c>
    </row>
    <row r="78" spans="1:16" x14ac:dyDescent="0.25">
      <c r="A78" s="99"/>
      <c r="B78" s="24" t="s">
        <v>789</v>
      </c>
      <c r="C78" s="18"/>
      <c r="D78" s="73">
        <v>84.31</v>
      </c>
      <c r="E78" s="74">
        <v>5.16</v>
      </c>
      <c r="F78" s="19">
        <v>10.53</v>
      </c>
      <c r="G78" s="58">
        <v>37.46</v>
      </c>
      <c r="H78" s="59">
        <v>6.93</v>
      </c>
      <c r="I78" s="59">
        <v>46.77</v>
      </c>
      <c r="J78" s="59">
        <v>0.56999999999999995</v>
      </c>
      <c r="K78" s="60"/>
      <c r="L78" s="18"/>
      <c r="M78" s="19">
        <v>15.7</v>
      </c>
      <c r="N78" s="24" t="s">
        <v>791</v>
      </c>
      <c r="P78" s="6" t="s">
        <v>133</v>
      </c>
    </row>
    <row r="79" spans="1:16" x14ac:dyDescent="0.25">
      <c r="A79" s="99"/>
      <c r="B79" s="24" t="s">
        <v>655</v>
      </c>
      <c r="C79" s="18">
        <v>7.4</v>
      </c>
      <c r="D79" s="73">
        <v>67.7</v>
      </c>
      <c r="E79" s="74">
        <v>17.8</v>
      </c>
      <c r="F79" s="19">
        <v>7.1</v>
      </c>
      <c r="G79" s="58">
        <v>48.7</v>
      </c>
      <c r="H79" s="59">
        <v>6.4</v>
      </c>
      <c r="I79" s="59">
        <v>44.1</v>
      </c>
      <c r="J79" s="59">
        <v>0.7</v>
      </c>
      <c r="K79" s="60">
        <v>0.08</v>
      </c>
      <c r="L79" s="18"/>
      <c r="M79" s="19"/>
      <c r="N79" s="24" t="s">
        <v>579</v>
      </c>
    </row>
    <row r="80" spans="1:16" x14ac:dyDescent="0.25">
      <c r="A80" s="99"/>
      <c r="B80" s="24" t="s">
        <v>656</v>
      </c>
      <c r="C80" s="18"/>
      <c r="D80" s="73">
        <v>73.099999999999994</v>
      </c>
      <c r="E80" s="74">
        <v>19.2</v>
      </c>
      <c r="F80" s="19">
        <v>7.7</v>
      </c>
      <c r="G80" s="58">
        <v>48.7</v>
      </c>
      <c r="H80" s="59">
        <v>6.4</v>
      </c>
      <c r="I80" s="59">
        <v>44.1</v>
      </c>
      <c r="J80" s="59">
        <v>0.7</v>
      </c>
      <c r="K80" s="60">
        <v>0.08</v>
      </c>
      <c r="L80" s="18"/>
      <c r="M80" s="19"/>
      <c r="N80" s="24" t="s">
        <v>579</v>
      </c>
    </row>
    <row r="81" spans="1:16" x14ac:dyDescent="0.25">
      <c r="A81" s="99"/>
      <c r="B81" s="24" t="s">
        <v>806</v>
      </c>
      <c r="C81" s="18"/>
      <c r="D81" s="73">
        <v>82.58</v>
      </c>
      <c r="E81" s="74">
        <v>10.68</v>
      </c>
      <c r="F81" s="19">
        <v>6.75</v>
      </c>
      <c r="G81" s="58">
        <v>42.65</v>
      </c>
      <c r="H81" s="59">
        <v>5.57</v>
      </c>
      <c r="I81" s="59">
        <v>43.44</v>
      </c>
      <c r="J81" s="59">
        <v>1.49</v>
      </c>
      <c r="K81" s="60"/>
      <c r="L81" s="18"/>
      <c r="M81" s="19">
        <v>16.239999999999998</v>
      </c>
      <c r="N81" s="24" t="s">
        <v>791</v>
      </c>
      <c r="P81" s="6" t="s">
        <v>799</v>
      </c>
    </row>
    <row r="82" spans="1:16" x14ac:dyDescent="0.25">
      <c r="A82" s="99"/>
      <c r="B82" s="24" t="s">
        <v>847</v>
      </c>
      <c r="C82" s="18">
        <v>6.8</v>
      </c>
      <c r="D82" s="73">
        <v>82.8</v>
      </c>
      <c r="E82" s="74">
        <v>1.5</v>
      </c>
      <c r="F82" s="19">
        <v>8.9</v>
      </c>
      <c r="G82" s="58">
        <v>43.25</v>
      </c>
      <c r="H82" s="59">
        <v>5.62</v>
      </c>
      <c r="I82" s="59">
        <v>48.8</v>
      </c>
      <c r="J82" s="59">
        <v>2.11</v>
      </c>
      <c r="K82" s="60"/>
      <c r="L82" s="18"/>
      <c r="M82" s="19">
        <v>16</v>
      </c>
      <c r="N82" s="24" t="s">
        <v>570</v>
      </c>
    </row>
    <row r="83" spans="1:16" x14ac:dyDescent="0.25">
      <c r="A83" s="99"/>
      <c r="B83" s="24" t="s">
        <v>810</v>
      </c>
      <c r="C83" s="18"/>
      <c r="D83" s="73">
        <v>80.3</v>
      </c>
      <c r="E83" s="74">
        <v>8.8000000000000007</v>
      </c>
      <c r="F83" s="19">
        <v>3</v>
      </c>
      <c r="G83" s="58">
        <v>41.8</v>
      </c>
      <c r="H83" s="59">
        <v>6.4</v>
      </c>
      <c r="I83" s="59">
        <v>48.4</v>
      </c>
      <c r="J83" s="59">
        <v>0.7</v>
      </c>
      <c r="K83" s="60"/>
      <c r="L83" s="18"/>
      <c r="M83" s="19">
        <v>17</v>
      </c>
      <c r="N83" s="24" t="s">
        <v>791</v>
      </c>
      <c r="P83" s="6" t="s">
        <v>133</v>
      </c>
    </row>
    <row r="84" spans="1:16" x14ac:dyDescent="0.25">
      <c r="A84" s="99"/>
      <c r="B84" s="24" t="s">
        <v>661</v>
      </c>
      <c r="C84" s="18">
        <v>16.8</v>
      </c>
      <c r="D84" s="73">
        <v>58</v>
      </c>
      <c r="E84" s="74">
        <v>16.2</v>
      </c>
      <c r="F84" s="19">
        <v>9</v>
      </c>
      <c r="G84" s="58">
        <v>50.6</v>
      </c>
      <c r="H84" s="59">
        <v>6.2</v>
      </c>
      <c r="I84" s="59">
        <v>40.1</v>
      </c>
      <c r="J84" s="59">
        <v>2.8</v>
      </c>
      <c r="K84" s="60">
        <v>0.28000000000000003</v>
      </c>
      <c r="L84" s="18"/>
      <c r="M84" s="19"/>
      <c r="N84" s="24" t="s">
        <v>579</v>
      </c>
    </row>
    <row r="85" spans="1:16" x14ac:dyDescent="0.25">
      <c r="A85" s="99"/>
      <c r="B85" s="24" t="s">
        <v>672</v>
      </c>
      <c r="C85" s="18"/>
      <c r="D85" s="73">
        <v>69.7</v>
      </c>
      <c r="E85" s="74">
        <v>19.5</v>
      </c>
      <c r="F85" s="19">
        <v>10.8</v>
      </c>
      <c r="G85" s="58">
        <v>50.6</v>
      </c>
      <c r="H85" s="59">
        <v>6.2</v>
      </c>
      <c r="I85" s="59">
        <v>40.1</v>
      </c>
      <c r="J85" s="59">
        <v>2.8</v>
      </c>
      <c r="K85" s="60">
        <v>0.28000000000000003</v>
      </c>
      <c r="L85" s="18"/>
      <c r="M85" s="19"/>
      <c r="N85" s="24" t="s">
        <v>579</v>
      </c>
    </row>
    <row r="86" spans="1:16" x14ac:dyDescent="0.25">
      <c r="A86" s="99"/>
      <c r="B86" s="24" t="s">
        <v>662</v>
      </c>
      <c r="C86" s="18">
        <v>8.1999999999999993</v>
      </c>
      <c r="D86" s="73">
        <v>73.900000000000006</v>
      </c>
      <c r="E86" s="74">
        <v>12.5</v>
      </c>
      <c r="F86" s="19">
        <v>5.4</v>
      </c>
      <c r="G86" s="58">
        <v>48.8</v>
      </c>
      <c r="H86" s="59">
        <v>6</v>
      </c>
      <c r="I86" s="59">
        <v>44.6</v>
      </c>
      <c r="J86" s="59">
        <v>0.5</v>
      </c>
      <c r="K86" s="60">
        <v>0.08</v>
      </c>
      <c r="L86" s="18"/>
      <c r="M86" s="19"/>
      <c r="N86" s="24" t="s">
        <v>579</v>
      </c>
    </row>
    <row r="87" spans="1:16" x14ac:dyDescent="0.25">
      <c r="A87" s="99"/>
      <c r="B87" s="24" t="s">
        <v>671</v>
      </c>
      <c r="C87" s="18"/>
      <c r="D87" s="73">
        <v>80.5</v>
      </c>
      <c r="E87" s="74">
        <v>13.6</v>
      </c>
      <c r="F87" s="19">
        <v>5.9</v>
      </c>
      <c r="G87" s="58">
        <v>48.8</v>
      </c>
      <c r="H87" s="59">
        <v>6</v>
      </c>
      <c r="I87" s="59">
        <v>44.6</v>
      </c>
      <c r="J87" s="59">
        <v>0.5</v>
      </c>
      <c r="K87" s="60">
        <v>0.08</v>
      </c>
      <c r="L87" s="18"/>
      <c r="M87" s="19"/>
      <c r="N87" s="24" t="s">
        <v>579</v>
      </c>
    </row>
    <row r="88" spans="1:16" x14ac:dyDescent="0.25">
      <c r="A88" s="99"/>
      <c r="B88" s="24" t="s">
        <v>663</v>
      </c>
      <c r="C88" s="18">
        <v>8.6999999999999993</v>
      </c>
      <c r="D88" s="73">
        <v>70.7</v>
      </c>
      <c r="E88" s="74">
        <v>16.3</v>
      </c>
      <c r="F88" s="19">
        <v>4.3</v>
      </c>
      <c r="G88" s="58">
        <v>48.5</v>
      </c>
      <c r="H88" s="59">
        <v>6.4</v>
      </c>
      <c r="I88" s="59">
        <v>44.5</v>
      </c>
      <c r="J88" s="59">
        <v>0.5</v>
      </c>
      <c r="K88" s="60">
        <v>0.1</v>
      </c>
      <c r="L88" s="18"/>
      <c r="M88" s="19"/>
      <c r="N88" s="24" t="s">
        <v>579</v>
      </c>
    </row>
    <row r="89" spans="1:16" x14ac:dyDescent="0.25">
      <c r="A89" s="99"/>
      <c r="B89" s="24" t="s">
        <v>670</v>
      </c>
      <c r="C89" s="18"/>
      <c r="D89" s="73">
        <v>77.400000000000006</v>
      </c>
      <c r="E89" s="74">
        <v>17.899999999999999</v>
      </c>
      <c r="F89" s="19">
        <v>4.7</v>
      </c>
      <c r="G89" s="58">
        <v>48.5</v>
      </c>
      <c r="H89" s="59">
        <v>6.4</v>
      </c>
      <c r="I89" s="59">
        <v>44.5</v>
      </c>
      <c r="J89" s="59">
        <v>0.5</v>
      </c>
      <c r="K89" s="60">
        <v>0.1</v>
      </c>
      <c r="L89" s="18"/>
      <c r="M89" s="19"/>
      <c r="N89" s="24" t="s">
        <v>579</v>
      </c>
    </row>
    <row r="90" spans="1:16" x14ac:dyDescent="0.25">
      <c r="A90" s="99"/>
      <c r="B90" s="24" t="s">
        <v>664</v>
      </c>
      <c r="C90" s="18">
        <v>7.6</v>
      </c>
      <c r="D90" s="73">
        <v>59.4</v>
      </c>
      <c r="E90" s="74">
        <v>14.4</v>
      </c>
      <c r="F90" s="19">
        <v>18.600000000000001</v>
      </c>
      <c r="G90" s="58">
        <v>50.1</v>
      </c>
      <c r="H90" s="59">
        <v>5.7</v>
      </c>
      <c r="I90" s="59">
        <v>43</v>
      </c>
      <c r="J90" s="59">
        <v>1</v>
      </c>
      <c r="K90" s="60">
        <v>0.16</v>
      </c>
      <c r="L90" s="18"/>
      <c r="M90" s="19"/>
      <c r="N90" s="24" t="s">
        <v>579</v>
      </c>
    </row>
    <row r="91" spans="1:16" x14ac:dyDescent="0.25">
      <c r="A91" s="99"/>
      <c r="B91" s="24" t="s">
        <v>669</v>
      </c>
      <c r="C91" s="18"/>
      <c r="D91" s="73">
        <v>64.3</v>
      </c>
      <c r="E91" s="74">
        <v>15.6</v>
      </c>
      <c r="F91" s="19">
        <v>20.100000000000001</v>
      </c>
      <c r="G91" s="58">
        <v>50.1</v>
      </c>
      <c r="H91" s="59">
        <v>5.7</v>
      </c>
      <c r="I91" s="59">
        <v>43</v>
      </c>
      <c r="J91" s="59">
        <v>1</v>
      </c>
      <c r="K91" s="60">
        <v>0.16</v>
      </c>
      <c r="L91" s="18"/>
      <c r="M91" s="19"/>
      <c r="N91" s="24" t="s">
        <v>579</v>
      </c>
    </row>
    <row r="92" spans="1:16" x14ac:dyDescent="0.25">
      <c r="A92" s="99"/>
      <c r="B92" s="24" t="s">
        <v>843</v>
      </c>
      <c r="C92" s="18"/>
      <c r="D92" s="73">
        <v>66.62</v>
      </c>
      <c r="E92" s="74">
        <v>16.559999999999999</v>
      </c>
      <c r="F92" s="19">
        <v>16.82</v>
      </c>
      <c r="G92" s="58">
        <v>39.75</v>
      </c>
      <c r="H92" s="59">
        <v>4.93</v>
      </c>
      <c r="I92" s="59">
        <v>37.380000000000003</v>
      </c>
      <c r="J92" s="59">
        <v>0.94</v>
      </c>
      <c r="K92" s="60"/>
      <c r="L92" s="18"/>
      <c r="M92" s="19">
        <v>14.86</v>
      </c>
      <c r="N92" s="24" t="s">
        <v>791</v>
      </c>
      <c r="P92" s="6" t="s">
        <v>798</v>
      </c>
    </row>
    <row r="93" spans="1:16" x14ac:dyDescent="0.25">
      <c r="A93" s="99"/>
      <c r="B93" s="24" t="s">
        <v>844</v>
      </c>
      <c r="C93" s="18"/>
      <c r="D93" s="73">
        <v>88.84</v>
      </c>
      <c r="E93" s="74">
        <v>1.61</v>
      </c>
      <c r="F93" s="19">
        <v>9.5500000000000007</v>
      </c>
      <c r="G93" s="58">
        <v>39.5</v>
      </c>
      <c r="H93" s="59">
        <v>6.2</v>
      </c>
      <c r="I93" s="59">
        <v>44.5</v>
      </c>
      <c r="J93" s="59">
        <v>1.9</v>
      </c>
      <c r="K93" s="60"/>
      <c r="L93" s="18"/>
      <c r="M93" s="19">
        <v>17.7</v>
      </c>
      <c r="N93" s="24" t="s">
        <v>791</v>
      </c>
      <c r="P93" s="6" t="s">
        <v>848</v>
      </c>
    </row>
    <row r="94" spans="1:16" x14ac:dyDescent="0.25">
      <c r="A94" s="99"/>
      <c r="B94" s="24" t="s">
        <v>845</v>
      </c>
      <c r="C94" s="18"/>
      <c r="D94" s="73">
        <v>76.849999999999994</v>
      </c>
      <c r="E94" s="74">
        <v>13.61</v>
      </c>
      <c r="F94" s="19">
        <v>9.5399999999999991</v>
      </c>
      <c r="G94" s="58">
        <v>50.9</v>
      </c>
      <c r="H94" s="59">
        <v>6</v>
      </c>
      <c r="I94" s="59">
        <v>32.1</v>
      </c>
      <c r="J94" s="59">
        <v>0.8</v>
      </c>
      <c r="K94" s="60"/>
      <c r="L94" s="18"/>
      <c r="M94" s="19">
        <v>18.920000000000002</v>
      </c>
      <c r="N94" s="24" t="s">
        <v>791</v>
      </c>
      <c r="P94" s="6" t="s">
        <v>836</v>
      </c>
    </row>
    <row r="95" spans="1:16" x14ac:dyDescent="0.25">
      <c r="A95" s="99"/>
      <c r="B95" s="24" t="s">
        <v>846</v>
      </c>
      <c r="C95" s="18"/>
      <c r="D95" s="73">
        <v>63.67</v>
      </c>
      <c r="E95" s="74">
        <v>16.53</v>
      </c>
      <c r="F95" s="19">
        <v>19.8</v>
      </c>
      <c r="G95" s="58">
        <v>36.9</v>
      </c>
      <c r="H95" s="59">
        <v>5</v>
      </c>
      <c r="I95" s="59">
        <v>37.9</v>
      </c>
      <c r="J95" s="59">
        <v>0.4</v>
      </c>
      <c r="K95" s="60"/>
      <c r="L95" s="18"/>
      <c r="M95" s="19">
        <v>16.78</v>
      </c>
      <c r="N95" s="24" t="s">
        <v>791</v>
      </c>
      <c r="P95" s="6" t="s">
        <v>486</v>
      </c>
    </row>
    <row r="96" spans="1:16" x14ac:dyDescent="0.25">
      <c r="A96" s="99"/>
      <c r="B96" s="24" t="s">
        <v>849</v>
      </c>
      <c r="C96" s="18"/>
      <c r="D96" s="73">
        <v>65.47</v>
      </c>
      <c r="E96" s="74">
        <v>15.86</v>
      </c>
      <c r="F96" s="19">
        <v>18.670000000000002</v>
      </c>
      <c r="G96" s="58">
        <v>38.24</v>
      </c>
      <c r="H96" s="59">
        <v>5.2</v>
      </c>
      <c r="I96" s="59">
        <v>36.26</v>
      </c>
      <c r="J96" s="59">
        <v>0.87</v>
      </c>
      <c r="K96" s="60"/>
      <c r="L96" s="18"/>
      <c r="M96" s="19">
        <v>15.09</v>
      </c>
      <c r="N96" s="24" t="s">
        <v>791</v>
      </c>
      <c r="P96" s="6" t="s">
        <v>500</v>
      </c>
    </row>
    <row r="97" spans="1:16" x14ac:dyDescent="0.25">
      <c r="A97" s="99"/>
      <c r="B97" s="24" t="s">
        <v>665</v>
      </c>
      <c r="C97" s="18">
        <v>12.4</v>
      </c>
      <c r="D97" s="73">
        <v>64.3</v>
      </c>
      <c r="E97" s="74">
        <v>13.8</v>
      </c>
      <c r="F97" s="19">
        <v>9.5</v>
      </c>
      <c r="G97" s="58">
        <v>48.8</v>
      </c>
      <c r="H97" s="59">
        <v>5.6</v>
      </c>
      <c r="I97" s="59">
        <v>44.5</v>
      </c>
      <c r="J97" s="59">
        <v>1</v>
      </c>
      <c r="K97" s="60">
        <v>0.13</v>
      </c>
      <c r="L97" s="18"/>
      <c r="M97" s="19"/>
      <c r="N97" s="24" t="s">
        <v>579</v>
      </c>
    </row>
    <row r="98" spans="1:16" x14ac:dyDescent="0.25">
      <c r="A98" s="99"/>
      <c r="B98" s="24" t="s">
        <v>668</v>
      </c>
      <c r="C98" s="18"/>
      <c r="D98" s="73">
        <v>73.400000000000006</v>
      </c>
      <c r="E98" s="74">
        <v>15.8</v>
      </c>
      <c r="F98" s="19">
        <v>10.8</v>
      </c>
      <c r="G98" s="58">
        <v>48.8</v>
      </c>
      <c r="H98" s="59">
        <v>5.6</v>
      </c>
      <c r="I98" s="59">
        <v>44.5</v>
      </c>
      <c r="J98" s="59">
        <v>1</v>
      </c>
      <c r="K98" s="60">
        <v>0.13</v>
      </c>
      <c r="L98" s="18"/>
      <c r="M98" s="19"/>
      <c r="N98" s="24" t="s">
        <v>579</v>
      </c>
    </row>
    <row r="99" spans="1:16" x14ac:dyDescent="0.25">
      <c r="A99" s="99"/>
      <c r="B99" s="24" t="s">
        <v>814</v>
      </c>
      <c r="C99" s="18"/>
      <c r="D99" s="73">
        <v>70.599999999999994</v>
      </c>
      <c r="E99" s="74">
        <v>13</v>
      </c>
      <c r="F99" s="19">
        <v>16.399999999999999</v>
      </c>
      <c r="G99" s="58">
        <v>43.2</v>
      </c>
      <c r="H99" s="59">
        <v>6.7</v>
      </c>
      <c r="I99" s="59">
        <v>33.200000000000003</v>
      </c>
      <c r="J99" s="59">
        <v>0.3</v>
      </c>
      <c r="K99" s="60"/>
      <c r="L99" s="18"/>
      <c r="M99" s="19">
        <v>18</v>
      </c>
      <c r="N99" s="24" t="s">
        <v>791</v>
      </c>
      <c r="P99" s="6" t="s">
        <v>815</v>
      </c>
    </row>
    <row r="100" spans="1:16" x14ac:dyDescent="0.25">
      <c r="A100" s="99"/>
      <c r="B100" s="24" t="s">
        <v>666</v>
      </c>
      <c r="C100" s="18">
        <v>10.1</v>
      </c>
      <c r="D100" s="73">
        <v>67.2</v>
      </c>
      <c r="E100" s="74">
        <v>16.3</v>
      </c>
      <c r="F100" s="19">
        <v>6.4</v>
      </c>
      <c r="G100" s="58">
        <v>49.4</v>
      </c>
      <c r="H100" s="59">
        <v>6.3</v>
      </c>
      <c r="I100" s="59">
        <v>43.6</v>
      </c>
      <c r="J100" s="59">
        <v>0.7</v>
      </c>
      <c r="K100" s="60">
        <v>0.17</v>
      </c>
      <c r="L100" s="18"/>
      <c r="M100" s="19"/>
      <c r="N100" s="24" t="s">
        <v>579</v>
      </c>
    </row>
    <row r="101" spans="1:16" x14ac:dyDescent="0.25">
      <c r="A101" s="99"/>
      <c r="B101" s="24" t="s">
        <v>667</v>
      </c>
      <c r="C101" s="18"/>
      <c r="D101" s="73">
        <v>74.8</v>
      </c>
      <c r="E101" s="74">
        <v>18.100000000000001</v>
      </c>
      <c r="F101" s="19">
        <v>7.1</v>
      </c>
      <c r="G101" s="58">
        <v>49.4</v>
      </c>
      <c r="H101" s="59">
        <v>6.3</v>
      </c>
      <c r="I101" s="59">
        <v>43.6</v>
      </c>
      <c r="J101" s="59">
        <v>0.7</v>
      </c>
      <c r="K101" s="60">
        <v>0.17</v>
      </c>
      <c r="L101" s="18"/>
      <c r="M101" s="19"/>
      <c r="N101" s="24" t="s">
        <v>579</v>
      </c>
    </row>
    <row r="102" spans="1:16" ht="14.25" customHeight="1" x14ac:dyDescent="0.25">
      <c r="A102" s="99"/>
      <c r="B102" s="45" t="s">
        <v>157</v>
      </c>
      <c r="C102" s="18"/>
      <c r="D102" s="73">
        <v>79</v>
      </c>
      <c r="E102" s="74">
        <v>17</v>
      </c>
      <c r="F102" s="19">
        <v>4.3499999999999996</v>
      </c>
      <c r="G102" s="58">
        <v>47.82</v>
      </c>
      <c r="H102" s="59">
        <v>5.29</v>
      </c>
      <c r="I102" s="59">
        <v>41.59</v>
      </c>
      <c r="J102" s="59">
        <v>0.47</v>
      </c>
      <c r="K102" s="60">
        <v>0.08</v>
      </c>
      <c r="L102" s="18">
        <v>17.7</v>
      </c>
      <c r="M102" s="19">
        <f>17250/1000</f>
        <v>17.25</v>
      </c>
      <c r="N102" s="24" t="s">
        <v>113</v>
      </c>
    </row>
    <row r="103" spans="1:16" x14ac:dyDescent="0.25">
      <c r="A103" s="99"/>
      <c r="B103" s="45" t="s">
        <v>158</v>
      </c>
      <c r="C103" s="18">
        <v>8.5</v>
      </c>
      <c r="D103" s="73">
        <v>65.599999999999994</v>
      </c>
      <c r="E103" s="74"/>
      <c r="F103" s="19">
        <v>4.99</v>
      </c>
      <c r="G103" s="58"/>
      <c r="H103" s="59"/>
      <c r="I103" s="59"/>
      <c r="J103" s="59"/>
      <c r="K103" s="60"/>
      <c r="L103" s="18"/>
      <c r="M103" s="19">
        <f>17000/1000</f>
        <v>17</v>
      </c>
      <c r="N103" s="24" t="s">
        <v>134</v>
      </c>
    </row>
    <row r="104" spans="1:16" x14ac:dyDescent="0.25">
      <c r="A104" s="99"/>
      <c r="B104" s="45" t="s">
        <v>159</v>
      </c>
      <c r="C104" s="18">
        <v>6.4</v>
      </c>
      <c r="D104" s="73"/>
      <c r="E104" s="74"/>
      <c r="F104" s="19">
        <v>8.1</v>
      </c>
      <c r="G104" s="58">
        <v>41.8</v>
      </c>
      <c r="H104" s="59">
        <v>4.8</v>
      </c>
      <c r="I104" s="59">
        <v>38</v>
      </c>
      <c r="J104" s="59">
        <v>0.5</v>
      </c>
      <c r="K104" s="60">
        <v>0</v>
      </c>
      <c r="L104" s="18"/>
      <c r="M104" s="19">
        <f>18610/1000</f>
        <v>18.61</v>
      </c>
      <c r="N104" s="24" t="s">
        <v>134</v>
      </c>
    </row>
    <row r="105" spans="1:16" x14ac:dyDescent="0.25">
      <c r="A105" s="99"/>
      <c r="B105" s="45" t="s">
        <v>160</v>
      </c>
      <c r="C105" s="18">
        <v>7.5</v>
      </c>
      <c r="D105" s="73">
        <v>75.599999999999994</v>
      </c>
      <c r="E105" s="74"/>
      <c r="F105" s="19">
        <v>4.4000000000000004</v>
      </c>
      <c r="G105" s="58">
        <v>47.1</v>
      </c>
      <c r="H105" s="59">
        <v>5.7</v>
      </c>
      <c r="I105" s="59"/>
      <c r="J105" s="59">
        <v>0.75</v>
      </c>
      <c r="K105" s="60">
        <v>7.0000000000000007E-2</v>
      </c>
      <c r="L105" s="18"/>
      <c r="M105" s="19"/>
      <c r="N105" s="24" t="s">
        <v>134</v>
      </c>
    </row>
    <row r="106" spans="1:16" x14ac:dyDescent="0.25">
      <c r="A106" s="99"/>
      <c r="B106" s="45" t="s">
        <v>161</v>
      </c>
      <c r="C106" s="18">
        <v>7.5</v>
      </c>
      <c r="D106" s="73">
        <v>79</v>
      </c>
      <c r="E106" s="74"/>
      <c r="F106" s="19">
        <v>6</v>
      </c>
      <c r="G106" s="58">
        <v>47.2</v>
      </c>
      <c r="H106" s="59">
        <v>6.6</v>
      </c>
      <c r="I106" s="59">
        <v>40.299999999999997</v>
      </c>
      <c r="J106" s="59">
        <v>0.25</v>
      </c>
      <c r="K106" s="60">
        <v>0.03</v>
      </c>
      <c r="L106" s="18"/>
      <c r="M106" s="19">
        <f>17014/1000</f>
        <v>17.013999999999999</v>
      </c>
      <c r="N106" s="24" t="s">
        <v>134</v>
      </c>
    </row>
    <row r="107" spans="1:16" x14ac:dyDescent="0.25">
      <c r="A107" s="99"/>
      <c r="B107" s="45" t="s">
        <v>162</v>
      </c>
      <c r="C107" s="18">
        <v>9.1999999999999993</v>
      </c>
      <c r="D107" s="73">
        <v>77.7</v>
      </c>
      <c r="E107" s="74"/>
      <c r="F107" s="19">
        <v>5.9</v>
      </c>
      <c r="G107" s="58">
        <v>39.5</v>
      </c>
      <c r="H107" s="59">
        <v>4.4000000000000004</v>
      </c>
      <c r="I107" s="59">
        <v>53.8</v>
      </c>
      <c r="J107" s="59">
        <v>1.7</v>
      </c>
      <c r="K107" s="60">
        <v>0.64</v>
      </c>
      <c r="L107" s="18"/>
      <c r="M107" s="19">
        <f>17014/1000</f>
        <v>17.013999999999999</v>
      </c>
      <c r="N107" s="24" t="s">
        <v>134</v>
      </c>
    </row>
    <row r="108" spans="1:16" x14ac:dyDescent="0.25">
      <c r="A108" s="99"/>
      <c r="B108" s="45" t="s">
        <v>163</v>
      </c>
      <c r="C108" s="18">
        <v>9.4</v>
      </c>
      <c r="D108" s="73">
        <v>77.3</v>
      </c>
      <c r="E108" s="74"/>
      <c r="F108" s="19">
        <v>6.4</v>
      </c>
      <c r="G108" s="58">
        <v>39.700000000000003</v>
      </c>
      <c r="H108" s="59">
        <v>4.4000000000000004</v>
      </c>
      <c r="I108" s="59">
        <v>53.6</v>
      </c>
      <c r="J108" s="59">
        <v>1.7</v>
      </c>
      <c r="K108" s="60">
        <v>0.64</v>
      </c>
      <c r="L108" s="18"/>
      <c r="M108" s="19">
        <f>17250/1000</f>
        <v>17.25</v>
      </c>
      <c r="N108" s="24" t="s">
        <v>134</v>
      </c>
    </row>
    <row r="109" spans="1:16" x14ac:dyDescent="0.25">
      <c r="A109" s="99"/>
      <c r="B109" s="45" t="s">
        <v>164</v>
      </c>
      <c r="C109" s="18">
        <v>7.6</v>
      </c>
      <c r="D109" s="73">
        <v>72.69</v>
      </c>
      <c r="E109" s="74"/>
      <c r="F109" s="19">
        <v>9.2200000000000006</v>
      </c>
      <c r="G109" s="58">
        <v>42.89</v>
      </c>
      <c r="H109" s="59">
        <v>5.81</v>
      </c>
      <c r="I109" s="59">
        <v>40.93</v>
      </c>
      <c r="J109" s="59">
        <v>0.98</v>
      </c>
      <c r="K109" s="60">
        <v>0.05</v>
      </c>
      <c r="L109" s="18"/>
      <c r="M109" s="19">
        <f>16660/1000</f>
        <v>16.66</v>
      </c>
      <c r="N109" s="24" t="s">
        <v>134</v>
      </c>
    </row>
    <row r="110" spans="1:16" x14ac:dyDescent="0.25">
      <c r="A110" s="99"/>
      <c r="B110" s="45" t="s">
        <v>165</v>
      </c>
      <c r="C110" s="21">
        <v>7.6</v>
      </c>
      <c r="D110" s="73">
        <v>69.099999999999994</v>
      </c>
      <c r="E110" s="74"/>
      <c r="F110" s="25">
        <v>13.29</v>
      </c>
      <c r="G110" s="67">
        <v>41.93</v>
      </c>
      <c r="H110" s="75">
        <v>5.79</v>
      </c>
      <c r="I110" s="75">
        <v>37.79</v>
      </c>
      <c r="J110" s="75">
        <v>0.91</v>
      </c>
      <c r="K110" s="68">
        <v>0.08</v>
      </c>
      <c r="L110" s="21"/>
      <c r="M110" s="25">
        <f>17700/1000</f>
        <v>17.7</v>
      </c>
      <c r="N110" s="24" t="s">
        <v>134</v>
      </c>
    </row>
    <row r="111" spans="1:16" x14ac:dyDescent="0.25">
      <c r="A111" s="99"/>
      <c r="B111" s="45" t="s">
        <v>166</v>
      </c>
      <c r="C111" s="18">
        <v>9.8000000000000007</v>
      </c>
      <c r="D111" s="74">
        <v>75.599999999999994</v>
      </c>
      <c r="E111" s="73"/>
      <c r="F111" s="19">
        <v>6.6</v>
      </c>
      <c r="G111" s="58">
        <v>46.1</v>
      </c>
      <c r="H111" s="59">
        <v>5.3</v>
      </c>
      <c r="I111" s="59">
        <v>41.7</v>
      </c>
      <c r="J111" s="59">
        <v>0.34</v>
      </c>
      <c r="K111" s="60">
        <v>0.09</v>
      </c>
      <c r="L111" s="18"/>
      <c r="M111" s="19"/>
      <c r="N111" s="24" t="s">
        <v>134</v>
      </c>
    </row>
    <row r="112" spans="1:16" x14ac:dyDescent="0.25">
      <c r="A112" s="99"/>
      <c r="B112" s="45" t="s">
        <v>512</v>
      </c>
      <c r="C112" s="18">
        <v>7.9</v>
      </c>
      <c r="D112" s="74">
        <v>87.9</v>
      </c>
      <c r="E112" s="73"/>
      <c r="F112" s="19">
        <v>4.2</v>
      </c>
      <c r="G112" s="58">
        <v>52</v>
      </c>
      <c r="H112" s="59">
        <v>4.9000000000000004</v>
      </c>
      <c r="I112" s="59">
        <v>42.5</v>
      </c>
      <c r="J112" s="59">
        <v>0.6</v>
      </c>
      <c r="K112" s="60"/>
      <c r="L112" s="18"/>
      <c r="M112" s="19">
        <v>18</v>
      </c>
      <c r="N112" s="24" t="s">
        <v>309</v>
      </c>
      <c r="P112" s="6" t="s">
        <v>131</v>
      </c>
    </row>
    <row r="113" spans="1:16" x14ac:dyDescent="0.25">
      <c r="A113" s="99"/>
      <c r="B113" s="45" t="s">
        <v>852</v>
      </c>
      <c r="C113" s="18"/>
      <c r="D113" s="74">
        <v>75.27</v>
      </c>
      <c r="E113" s="73">
        <v>17.71</v>
      </c>
      <c r="F113" s="19">
        <v>7.02</v>
      </c>
      <c r="G113" s="58">
        <v>44.92</v>
      </c>
      <c r="H113" s="59">
        <v>5.46</v>
      </c>
      <c r="I113" s="59">
        <v>41.77</v>
      </c>
      <c r="J113" s="59">
        <v>0.44</v>
      </c>
      <c r="K113" s="60"/>
      <c r="L113" s="18"/>
      <c r="M113" s="19">
        <v>17.940000000000001</v>
      </c>
      <c r="N113" s="24" t="s">
        <v>791</v>
      </c>
      <c r="P113" s="6" t="s">
        <v>500</v>
      </c>
    </row>
    <row r="114" spans="1:16" x14ac:dyDescent="0.25">
      <c r="A114" s="99"/>
      <c r="B114" s="45" t="s">
        <v>853</v>
      </c>
      <c r="C114" s="18"/>
      <c r="D114" s="74">
        <v>78.3</v>
      </c>
      <c r="E114" s="73">
        <v>14.4</v>
      </c>
      <c r="F114" s="19">
        <v>1.3</v>
      </c>
      <c r="G114" s="58">
        <v>41.07</v>
      </c>
      <c r="H114" s="59">
        <v>6.18</v>
      </c>
      <c r="I114" s="59">
        <v>51.43</v>
      </c>
      <c r="J114" s="59">
        <v>0.14000000000000001</v>
      </c>
      <c r="K114" s="60"/>
      <c r="L114" s="18"/>
      <c r="M114" s="19">
        <v>20.3</v>
      </c>
      <c r="N114" s="24" t="s">
        <v>791</v>
      </c>
      <c r="P114" s="6" t="s">
        <v>133</v>
      </c>
    </row>
    <row r="115" spans="1:16" x14ac:dyDescent="0.25">
      <c r="A115" s="99"/>
      <c r="B115" s="45" t="s">
        <v>854</v>
      </c>
      <c r="C115" s="18"/>
      <c r="D115" s="74">
        <v>74.319999999999993</v>
      </c>
      <c r="E115" s="73">
        <v>14.48</v>
      </c>
      <c r="F115" s="19">
        <v>11.2</v>
      </c>
      <c r="G115" s="58">
        <v>47.5</v>
      </c>
      <c r="H115" s="59">
        <v>5.4</v>
      </c>
      <c r="I115" s="59">
        <v>35.799999999999997</v>
      </c>
      <c r="J115" s="59">
        <v>0.1</v>
      </c>
      <c r="K115" s="60"/>
      <c r="L115" s="18"/>
      <c r="M115" s="19">
        <v>17.989999999999998</v>
      </c>
      <c r="N115" s="24" t="s">
        <v>791</v>
      </c>
      <c r="P115" s="6" t="s">
        <v>486</v>
      </c>
    </row>
    <row r="116" spans="1:16" x14ac:dyDescent="0.25">
      <c r="A116" s="99"/>
      <c r="B116" s="45" t="s">
        <v>855</v>
      </c>
      <c r="C116" s="18"/>
      <c r="D116" s="74"/>
      <c r="E116" s="73"/>
      <c r="F116" s="19">
        <v>6.8</v>
      </c>
      <c r="G116" s="58">
        <v>45.88</v>
      </c>
      <c r="H116" s="59">
        <v>5.52</v>
      </c>
      <c r="I116" s="59">
        <v>41.67</v>
      </c>
      <c r="J116" s="59">
        <v>0.66</v>
      </c>
      <c r="K116" s="60"/>
      <c r="L116" s="18"/>
      <c r="M116" s="19">
        <v>17.899999999999999</v>
      </c>
      <c r="N116" s="24" t="s">
        <v>791</v>
      </c>
      <c r="P116" s="6" t="s">
        <v>511</v>
      </c>
    </row>
    <row r="117" spans="1:16" x14ac:dyDescent="0.25">
      <c r="A117" s="99"/>
      <c r="B117" s="45" t="s">
        <v>856</v>
      </c>
      <c r="C117" s="18"/>
      <c r="D117" s="74">
        <v>63</v>
      </c>
      <c r="E117" s="73">
        <v>23.5</v>
      </c>
      <c r="F117" s="19">
        <v>13.5</v>
      </c>
      <c r="G117" s="58">
        <v>45.5</v>
      </c>
      <c r="H117" s="59">
        <v>5.0999999999999996</v>
      </c>
      <c r="I117" s="59">
        <v>34.1</v>
      </c>
      <c r="J117" s="59">
        <v>1.8</v>
      </c>
      <c r="K117" s="60"/>
      <c r="L117" s="18"/>
      <c r="M117" s="19">
        <v>17</v>
      </c>
      <c r="N117" s="24" t="s">
        <v>791</v>
      </c>
      <c r="P117" s="6" t="s">
        <v>473</v>
      </c>
    </row>
    <row r="118" spans="1:16" ht="14.45" customHeight="1" x14ac:dyDescent="0.25">
      <c r="A118" s="99"/>
      <c r="B118" s="45" t="s">
        <v>167</v>
      </c>
      <c r="C118" s="18">
        <v>10.5</v>
      </c>
      <c r="D118" s="73">
        <v>80.2</v>
      </c>
      <c r="E118" s="74"/>
      <c r="F118" s="19">
        <v>5.6</v>
      </c>
      <c r="G118" s="58">
        <v>42.9</v>
      </c>
      <c r="H118" s="59">
        <v>5.8</v>
      </c>
      <c r="I118" s="59">
        <v>49.9</v>
      </c>
      <c r="J118" s="59">
        <v>0.87</v>
      </c>
      <c r="K118" s="60">
        <v>0.57999999999999996</v>
      </c>
      <c r="L118" s="18"/>
      <c r="M118" s="19"/>
      <c r="N118" s="24" t="s">
        <v>134</v>
      </c>
    </row>
    <row r="119" spans="1:16" x14ac:dyDescent="0.25">
      <c r="A119" s="99"/>
      <c r="B119" s="45" t="s">
        <v>168</v>
      </c>
      <c r="C119" s="18"/>
      <c r="D119" s="73">
        <v>74.599999999999994</v>
      </c>
      <c r="E119" s="74"/>
      <c r="F119" s="19">
        <v>6.1</v>
      </c>
      <c r="G119" s="58">
        <v>43.8</v>
      </c>
      <c r="H119" s="59">
        <v>5.8</v>
      </c>
      <c r="I119" s="59">
        <v>42.9</v>
      </c>
      <c r="J119" s="59">
        <v>0.83</v>
      </c>
      <c r="K119" s="60">
        <v>0.61</v>
      </c>
      <c r="L119" s="18"/>
      <c r="M119" s="19">
        <f>17700/1000</f>
        <v>17.7</v>
      </c>
      <c r="N119" s="24" t="s">
        <v>134</v>
      </c>
    </row>
    <row r="120" spans="1:16" x14ac:dyDescent="0.25">
      <c r="A120" s="99"/>
      <c r="B120" s="45" t="s">
        <v>169</v>
      </c>
      <c r="C120" s="18">
        <v>9</v>
      </c>
      <c r="D120" s="73">
        <v>69.599999999999994</v>
      </c>
      <c r="E120" s="74"/>
      <c r="F120" s="19">
        <v>3.5</v>
      </c>
      <c r="G120" s="58">
        <v>37.799999999999997</v>
      </c>
      <c r="H120" s="59">
        <v>4.5999999999999996</v>
      </c>
      <c r="I120" s="59">
        <v>44.3</v>
      </c>
      <c r="J120" s="59">
        <v>0.76</v>
      </c>
      <c r="K120" s="60"/>
      <c r="L120" s="18"/>
      <c r="M120" s="19">
        <f>16960/1000</f>
        <v>16.96</v>
      </c>
      <c r="N120" s="24" t="s">
        <v>134</v>
      </c>
    </row>
    <row r="121" spans="1:16" x14ac:dyDescent="0.25">
      <c r="A121" s="99"/>
      <c r="B121" s="45" t="s">
        <v>170</v>
      </c>
      <c r="C121" s="18"/>
      <c r="D121" s="73"/>
      <c r="E121" s="74"/>
      <c r="F121" s="19">
        <v>6.2</v>
      </c>
      <c r="G121" s="58">
        <v>47.1</v>
      </c>
      <c r="H121" s="59">
        <v>5.9</v>
      </c>
      <c r="I121" s="59">
        <v>40</v>
      </c>
      <c r="J121" s="59">
        <v>0.84</v>
      </c>
      <c r="K121" s="60">
        <v>0.27</v>
      </c>
      <c r="L121" s="18"/>
      <c r="M121" s="19">
        <f>18100/1000</f>
        <v>18.100000000000001</v>
      </c>
      <c r="N121" s="24" t="s">
        <v>134</v>
      </c>
    </row>
    <row r="122" spans="1:16" x14ac:dyDescent="0.25">
      <c r="A122" s="99"/>
      <c r="B122" s="45" t="s">
        <v>171</v>
      </c>
      <c r="C122" s="18">
        <v>7.6</v>
      </c>
      <c r="D122" s="73">
        <v>95.5</v>
      </c>
      <c r="E122" s="74"/>
      <c r="F122" s="19"/>
      <c r="G122" s="58"/>
      <c r="H122" s="59"/>
      <c r="I122" s="59"/>
      <c r="J122" s="59"/>
      <c r="K122" s="60">
        <v>0.13400000000000001</v>
      </c>
      <c r="L122" s="18"/>
      <c r="M122" s="19">
        <f>17900/1000</f>
        <v>17.899999999999999</v>
      </c>
      <c r="N122" s="24" t="s">
        <v>134</v>
      </c>
    </row>
    <row r="123" spans="1:16" ht="14.45" customHeight="1" x14ac:dyDescent="0.25">
      <c r="A123" s="99"/>
      <c r="B123" s="45" t="s">
        <v>172</v>
      </c>
      <c r="C123" s="18">
        <v>5.5</v>
      </c>
      <c r="D123" s="73">
        <v>71.599999999999994</v>
      </c>
      <c r="E123" s="74"/>
      <c r="F123" s="19">
        <v>7.4</v>
      </c>
      <c r="G123" s="58"/>
      <c r="H123" s="59"/>
      <c r="I123" s="59"/>
      <c r="J123" s="59"/>
      <c r="K123" s="60"/>
      <c r="L123" s="18"/>
      <c r="M123" s="19">
        <f>16714/1000</f>
        <v>16.713999999999999</v>
      </c>
      <c r="N123" s="24" t="s">
        <v>134</v>
      </c>
    </row>
    <row r="124" spans="1:16" x14ac:dyDescent="0.25">
      <c r="A124" s="99"/>
      <c r="B124" s="45" t="s">
        <v>173</v>
      </c>
      <c r="C124" s="18">
        <v>8</v>
      </c>
      <c r="D124" s="73">
        <v>76.8</v>
      </c>
      <c r="E124" s="74"/>
      <c r="F124" s="19">
        <v>5.7</v>
      </c>
      <c r="G124" s="58">
        <v>48.8</v>
      </c>
      <c r="H124" s="59">
        <v>6.2</v>
      </c>
      <c r="I124" s="59">
        <v>44.4</v>
      </c>
      <c r="J124" s="59">
        <v>0.5</v>
      </c>
      <c r="K124" s="60">
        <v>0.1</v>
      </c>
      <c r="L124" s="18"/>
      <c r="M124" s="19">
        <f>18450/1000</f>
        <v>18.45</v>
      </c>
      <c r="N124" s="24" t="s">
        <v>134</v>
      </c>
    </row>
    <row r="125" spans="1:16" x14ac:dyDescent="0.25">
      <c r="A125" s="99"/>
      <c r="B125" s="45" t="s">
        <v>174</v>
      </c>
      <c r="C125" s="18">
        <v>5</v>
      </c>
      <c r="D125" s="73">
        <v>74.2</v>
      </c>
      <c r="E125" s="74"/>
      <c r="F125" s="19">
        <v>7</v>
      </c>
      <c r="G125" s="58">
        <v>44.2</v>
      </c>
      <c r="H125" s="59">
        <v>5.5</v>
      </c>
      <c r="I125" s="59">
        <v>37.700000000000003</v>
      </c>
      <c r="J125" s="59">
        <v>0.53</v>
      </c>
      <c r="K125" s="60">
        <v>0.1</v>
      </c>
      <c r="L125" s="18"/>
      <c r="M125" s="19">
        <f>18050/1000</f>
        <v>18.05</v>
      </c>
      <c r="N125" s="24" t="s">
        <v>134</v>
      </c>
    </row>
    <row r="126" spans="1:16" x14ac:dyDescent="0.25">
      <c r="A126" s="99"/>
      <c r="B126" s="45" t="s">
        <v>175</v>
      </c>
      <c r="C126" s="18"/>
      <c r="D126" s="73">
        <v>90.6</v>
      </c>
      <c r="E126" s="74"/>
      <c r="F126" s="19"/>
      <c r="G126" s="58"/>
      <c r="H126" s="59"/>
      <c r="I126" s="59"/>
      <c r="J126" s="59">
        <v>1.21</v>
      </c>
      <c r="K126" s="60"/>
      <c r="L126" s="18"/>
      <c r="M126" s="19"/>
      <c r="N126" s="24" t="s">
        <v>134</v>
      </c>
    </row>
    <row r="127" spans="1:16" x14ac:dyDescent="0.25">
      <c r="A127" s="99"/>
      <c r="B127" s="45" t="s">
        <v>176</v>
      </c>
      <c r="C127" s="18">
        <v>6.8</v>
      </c>
      <c r="D127" s="73">
        <v>75.7</v>
      </c>
      <c r="E127" s="74"/>
      <c r="F127" s="19">
        <v>5.5</v>
      </c>
      <c r="G127" s="58">
        <v>33.5</v>
      </c>
      <c r="H127" s="59">
        <v>5.7</v>
      </c>
      <c r="I127" s="59">
        <v>54.7</v>
      </c>
      <c r="J127" s="59">
        <v>0.52</v>
      </c>
      <c r="K127" s="60">
        <v>7.0000000000000007E-2</v>
      </c>
      <c r="L127" s="18"/>
      <c r="M127" s="19">
        <f>17310/1000</f>
        <v>17.309999999999999</v>
      </c>
      <c r="N127" s="24" t="s">
        <v>134</v>
      </c>
    </row>
    <row r="128" spans="1:16" x14ac:dyDescent="0.25">
      <c r="A128" s="100"/>
      <c r="B128" s="52" t="s">
        <v>177</v>
      </c>
      <c r="C128" s="26">
        <v>7.5</v>
      </c>
      <c r="D128" s="27">
        <v>74.5</v>
      </c>
      <c r="E128" s="35"/>
      <c r="F128" s="28">
        <v>9.1</v>
      </c>
      <c r="G128" s="61">
        <v>44.5</v>
      </c>
      <c r="H128" s="62">
        <v>5</v>
      </c>
      <c r="I128" s="62">
        <v>40.200000000000003</v>
      </c>
      <c r="J128" s="62">
        <v>0.5</v>
      </c>
      <c r="K128" s="63">
        <v>0.23</v>
      </c>
      <c r="L128" s="26"/>
      <c r="M128" s="28">
        <f>17900/1000</f>
        <v>17.899999999999999</v>
      </c>
      <c r="N128" s="51" t="s">
        <v>134</v>
      </c>
    </row>
    <row r="129" spans="1:16" x14ac:dyDescent="0.25">
      <c r="A129" s="98" t="s">
        <v>247</v>
      </c>
      <c r="B129" s="50" t="s">
        <v>313</v>
      </c>
      <c r="C129" s="37">
        <v>11.4</v>
      </c>
      <c r="D129" s="32">
        <v>85.9</v>
      </c>
      <c r="E129" s="30"/>
      <c r="F129" s="33">
        <v>2.7</v>
      </c>
      <c r="G129" s="64">
        <v>49.2</v>
      </c>
      <c r="H129" s="65">
        <v>6</v>
      </c>
      <c r="I129" s="65">
        <v>44.2</v>
      </c>
      <c r="J129" s="65">
        <v>0.4</v>
      </c>
      <c r="K129" s="66">
        <v>0.2</v>
      </c>
      <c r="L129" s="37"/>
      <c r="M129" s="33">
        <v>20.100000000000001</v>
      </c>
      <c r="N129" s="50" t="s">
        <v>22</v>
      </c>
    </row>
    <row r="130" spans="1:16" x14ac:dyDescent="0.25">
      <c r="A130" s="99"/>
      <c r="B130" s="24" t="s">
        <v>314</v>
      </c>
      <c r="C130" s="18">
        <v>4.4000000000000004</v>
      </c>
      <c r="D130" s="73"/>
      <c r="E130" s="74"/>
      <c r="F130" s="19">
        <v>2.2000000000000002</v>
      </c>
      <c r="G130" s="58">
        <v>49.8</v>
      </c>
      <c r="H130" s="59">
        <v>6.2</v>
      </c>
      <c r="I130" s="59">
        <v>43.6</v>
      </c>
      <c r="J130" s="59">
        <v>0.2</v>
      </c>
      <c r="K130" s="60">
        <v>0</v>
      </c>
      <c r="L130" s="18"/>
      <c r="M130" s="19">
        <v>16.7</v>
      </c>
      <c r="N130" s="24" t="s">
        <v>309</v>
      </c>
    </row>
    <row r="131" spans="1:16" x14ac:dyDescent="0.25">
      <c r="A131" s="99"/>
      <c r="B131" s="24" t="s">
        <v>645</v>
      </c>
      <c r="C131" s="18">
        <v>11.4</v>
      </c>
      <c r="D131" s="73">
        <v>71.900000000000006</v>
      </c>
      <c r="E131" s="74">
        <v>14</v>
      </c>
      <c r="F131" s="19">
        <v>2.7</v>
      </c>
      <c r="G131" s="58">
        <v>49.2</v>
      </c>
      <c r="H131" s="59">
        <v>6</v>
      </c>
      <c r="I131" s="59">
        <v>44.2</v>
      </c>
      <c r="J131" s="59">
        <v>0.4</v>
      </c>
      <c r="K131" s="60">
        <v>0.15</v>
      </c>
      <c r="L131" s="18"/>
      <c r="M131" s="19"/>
      <c r="N131" s="24" t="s">
        <v>579</v>
      </c>
    </row>
    <row r="132" spans="1:16" x14ac:dyDescent="0.25">
      <c r="A132" s="99"/>
      <c r="B132" s="24" t="s">
        <v>646</v>
      </c>
      <c r="C132" s="18"/>
      <c r="D132" s="73">
        <v>81.2</v>
      </c>
      <c r="E132" s="74">
        <v>15.8</v>
      </c>
      <c r="F132" s="19">
        <v>3</v>
      </c>
      <c r="G132" s="58">
        <v>49.2</v>
      </c>
      <c r="H132" s="59">
        <v>6</v>
      </c>
      <c r="I132" s="59">
        <v>44.2</v>
      </c>
      <c r="J132" s="59">
        <v>0.4</v>
      </c>
      <c r="K132" s="60">
        <v>0.15</v>
      </c>
      <c r="L132" s="18"/>
      <c r="M132" s="19"/>
      <c r="N132" s="24" t="s">
        <v>579</v>
      </c>
    </row>
    <row r="133" spans="1:16" x14ac:dyDescent="0.25">
      <c r="A133" s="99"/>
      <c r="B133" s="24" t="s">
        <v>910</v>
      </c>
      <c r="C133" s="18"/>
      <c r="D133" s="73">
        <v>78.92</v>
      </c>
      <c r="E133" s="74">
        <v>15.81</v>
      </c>
      <c r="F133" s="19">
        <v>5.27</v>
      </c>
      <c r="G133" s="58">
        <v>47.17</v>
      </c>
      <c r="H133" s="59">
        <v>5.99</v>
      </c>
      <c r="I133" s="59">
        <v>38.19</v>
      </c>
      <c r="J133" s="59">
        <v>2.68</v>
      </c>
      <c r="K133" s="60"/>
      <c r="L133" s="18"/>
      <c r="M133" s="19">
        <v>18.670000000000002</v>
      </c>
      <c r="N133" s="24" t="s">
        <v>791</v>
      </c>
      <c r="P133" s="6" t="s">
        <v>500</v>
      </c>
    </row>
    <row r="134" spans="1:16" x14ac:dyDescent="0.25">
      <c r="A134" s="99"/>
      <c r="B134" s="24" t="s">
        <v>3</v>
      </c>
      <c r="C134" s="18">
        <v>7.7</v>
      </c>
      <c r="D134" s="73">
        <v>84.1</v>
      </c>
      <c r="E134" s="74"/>
      <c r="F134" s="19">
        <v>8.1999999999999993</v>
      </c>
      <c r="G134" s="58">
        <v>49.4</v>
      </c>
      <c r="H134" s="59">
        <v>6.3</v>
      </c>
      <c r="I134" s="59">
        <v>42.7</v>
      </c>
      <c r="J134" s="59">
        <v>1.5</v>
      </c>
      <c r="K134" s="60">
        <v>0.2</v>
      </c>
      <c r="L134" s="18"/>
      <c r="M134" s="19">
        <v>18.899999999999999</v>
      </c>
      <c r="N134" s="24" t="s">
        <v>22</v>
      </c>
    </row>
    <row r="135" spans="1:16" x14ac:dyDescent="0.25">
      <c r="A135" s="99"/>
      <c r="B135" s="24" t="s">
        <v>647</v>
      </c>
      <c r="C135" s="18">
        <v>7.7</v>
      </c>
      <c r="D135" s="73">
        <v>67.8</v>
      </c>
      <c r="E135" s="74">
        <v>16.3</v>
      </c>
      <c r="F135" s="19">
        <v>8.1999999999999993</v>
      </c>
      <c r="G135" s="58">
        <v>49.4</v>
      </c>
      <c r="H135" s="59">
        <v>6.3</v>
      </c>
      <c r="I135" s="59">
        <v>42.7</v>
      </c>
      <c r="J135" s="59">
        <v>1.5</v>
      </c>
      <c r="K135" s="60">
        <v>0.15</v>
      </c>
      <c r="L135" s="18"/>
      <c r="M135" s="19"/>
      <c r="N135" s="24" t="s">
        <v>579</v>
      </c>
    </row>
    <row r="136" spans="1:16" x14ac:dyDescent="0.25">
      <c r="A136" s="99"/>
      <c r="B136" s="24" t="s">
        <v>648</v>
      </c>
      <c r="C136" s="18"/>
      <c r="D136" s="73">
        <v>73.400000000000006</v>
      </c>
      <c r="E136" s="74">
        <v>17.7</v>
      </c>
      <c r="F136" s="19">
        <v>8.9</v>
      </c>
      <c r="G136" s="58">
        <v>49.4</v>
      </c>
      <c r="H136" s="59">
        <v>6.3</v>
      </c>
      <c r="I136" s="59">
        <v>42.7</v>
      </c>
      <c r="J136" s="59">
        <v>1.5</v>
      </c>
      <c r="K136" s="60">
        <v>0.15</v>
      </c>
      <c r="L136" s="18"/>
      <c r="M136" s="19"/>
      <c r="N136" s="24" t="s">
        <v>579</v>
      </c>
    </row>
    <row r="137" spans="1:16" x14ac:dyDescent="0.25">
      <c r="A137" s="99"/>
      <c r="B137" s="24" t="s">
        <v>558</v>
      </c>
      <c r="C137" s="18">
        <v>12.14</v>
      </c>
      <c r="D137" s="73">
        <v>75.37</v>
      </c>
      <c r="E137" s="74">
        <v>7.33</v>
      </c>
      <c r="F137" s="19">
        <v>5.15</v>
      </c>
      <c r="G137" s="58">
        <v>40.03</v>
      </c>
      <c r="H137" s="59">
        <v>6.02</v>
      </c>
      <c r="I137" s="59">
        <v>51.18</v>
      </c>
      <c r="J137" s="59">
        <v>1.69</v>
      </c>
      <c r="K137" s="60">
        <v>1.08</v>
      </c>
      <c r="L137" s="18"/>
      <c r="M137" s="19">
        <v>15.23</v>
      </c>
      <c r="N137" s="24" t="s">
        <v>559</v>
      </c>
      <c r="P137" s="6" t="s">
        <v>551</v>
      </c>
    </row>
    <row r="138" spans="1:16" x14ac:dyDescent="0.25">
      <c r="A138" s="99"/>
      <c r="B138" s="24" t="s">
        <v>635</v>
      </c>
      <c r="C138" s="18">
        <v>42</v>
      </c>
      <c r="D138" s="73">
        <v>46.5</v>
      </c>
      <c r="E138" s="74">
        <v>9.5</v>
      </c>
      <c r="F138" s="19">
        <v>2</v>
      </c>
      <c r="G138" s="58">
        <v>48.7</v>
      </c>
      <c r="H138" s="59">
        <v>6.1</v>
      </c>
      <c r="I138" s="59">
        <v>44.5</v>
      </c>
      <c r="J138" s="59">
        <v>0.6</v>
      </c>
      <c r="K138" s="60">
        <v>0.13</v>
      </c>
      <c r="L138" s="18"/>
      <c r="M138" s="19"/>
      <c r="N138" s="24" t="s">
        <v>579</v>
      </c>
    </row>
    <row r="139" spans="1:16" x14ac:dyDescent="0.25">
      <c r="A139" s="99"/>
      <c r="B139" s="24" t="s">
        <v>636</v>
      </c>
      <c r="C139" s="18"/>
      <c r="D139" s="73">
        <v>80.2</v>
      </c>
      <c r="E139" s="74">
        <v>16.399999999999999</v>
      </c>
      <c r="F139" s="19">
        <v>3.4</v>
      </c>
      <c r="G139" s="58">
        <v>48.7</v>
      </c>
      <c r="H139" s="59">
        <v>6.1</v>
      </c>
      <c r="I139" s="59">
        <v>44.5</v>
      </c>
      <c r="J139" s="59">
        <v>0.6</v>
      </c>
      <c r="K139" s="60">
        <v>0.13</v>
      </c>
      <c r="L139" s="18"/>
      <c r="M139" s="19"/>
      <c r="N139" s="24" t="s">
        <v>579</v>
      </c>
    </row>
    <row r="140" spans="1:16" x14ac:dyDescent="0.25">
      <c r="A140" s="99"/>
      <c r="B140" s="24" t="s">
        <v>637</v>
      </c>
      <c r="C140" s="18">
        <v>13</v>
      </c>
      <c r="D140" s="73">
        <v>71</v>
      </c>
      <c r="E140" s="74">
        <v>15.2</v>
      </c>
      <c r="F140" s="19">
        <v>0.8</v>
      </c>
      <c r="G140" s="58">
        <v>52</v>
      </c>
      <c r="H140" s="59">
        <v>5.0999999999999996</v>
      </c>
      <c r="I140" s="59">
        <v>42.5</v>
      </c>
      <c r="J140" s="59">
        <v>0.4</v>
      </c>
      <c r="K140" s="60">
        <v>0.04</v>
      </c>
      <c r="L140" s="18"/>
      <c r="M140" s="19"/>
      <c r="N140" s="24" t="s">
        <v>579</v>
      </c>
    </row>
    <row r="141" spans="1:16" x14ac:dyDescent="0.25">
      <c r="A141" s="99"/>
      <c r="B141" s="24" t="s">
        <v>638</v>
      </c>
      <c r="C141" s="18"/>
      <c r="D141" s="73">
        <v>81.599999999999994</v>
      </c>
      <c r="E141" s="74">
        <v>17.5</v>
      </c>
      <c r="F141" s="19">
        <v>0.9</v>
      </c>
      <c r="G141" s="58">
        <v>52</v>
      </c>
      <c r="H141" s="59">
        <v>5.0999999999999996</v>
      </c>
      <c r="I141" s="59">
        <v>42.5</v>
      </c>
      <c r="J141" s="59">
        <v>0.4</v>
      </c>
      <c r="K141" s="60">
        <v>0.04</v>
      </c>
      <c r="L141" s="18"/>
      <c r="M141" s="19"/>
      <c r="N141" s="24" t="s">
        <v>579</v>
      </c>
    </row>
    <row r="142" spans="1:16" x14ac:dyDescent="0.25">
      <c r="A142" s="99"/>
      <c r="B142" s="24" t="s">
        <v>639</v>
      </c>
      <c r="C142" s="18">
        <v>4.5</v>
      </c>
      <c r="D142" s="73">
        <v>70.2</v>
      </c>
      <c r="E142" s="74">
        <v>15.9</v>
      </c>
      <c r="F142" s="19">
        <v>9.4</v>
      </c>
      <c r="G142" s="58">
        <v>50.1</v>
      </c>
      <c r="H142" s="59">
        <v>6</v>
      </c>
      <c r="I142" s="59">
        <v>42.9</v>
      </c>
      <c r="J142" s="59">
        <v>0.9</v>
      </c>
      <c r="K142" s="60">
        <v>0.13</v>
      </c>
      <c r="L142" s="18"/>
      <c r="M142" s="19"/>
      <c r="N142" s="24" t="s">
        <v>579</v>
      </c>
    </row>
    <row r="143" spans="1:16" x14ac:dyDescent="0.25">
      <c r="A143" s="99"/>
      <c r="B143" s="24" t="s">
        <v>640</v>
      </c>
      <c r="C143" s="18"/>
      <c r="D143" s="73">
        <v>73.599999999999994</v>
      </c>
      <c r="E143" s="74">
        <v>16.600000000000001</v>
      </c>
      <c r="F143" s="19">
        <v>9.8000000000000007</v>
      </c>
      <c r="G143" s="58">
        <v>50.1</v>
      </c>
      <c r="H143" s="59">
        <v>6</v>
      </c>
      <c r="I143" s="59">
        <v>42.9</v>
      </c>
      <c r="J143" s="59">
        <v>0.9</v>
      </c>
      <c r="K143" s="60">
        <v>0.13</v>
      </c>
      <c r="L143" s="18"/>
      <c r="M143" s="19"/>
      <c r="N143" s="24" t="s">
        <v>579</v>
      </c>
    </row>
    <row r="144" spans="1:16" x14ac:dyDescent="0.25">
      <c r="A144" s="99"/>
      <c r="B144" s="24" t="s">
        <v>641</v>
      </c>
      <c r="C144" s="18">
        <v>10</v>
      </c>
      <c r="D144" s="73">
        <v>73.5</v>
      </c>
      <c r="E144" s="74">
        <v>12.3</v>
      </c>
      <c r="F144" s="19">
        <v>4.2</v>
      </c>
      <c r="G144" s="58">
        <v>46.1</v>
      </c>
      <c r="H144" s="59">
        <v>6.5</v>
      </c>
      <c r="I144" s="59">
        <v>44.5</v>
      </c>
      <c r="J144" s="59">
        <v>2.6</v>
      </c>
      <c r="K144" s="60">
        <v>0.27</v>
      </c>
      <c r="L144" s="18"/>
      <c r="M144" s="19"/>
      <c r="N144" s="24" t="s">
        <v>579</v>
      </c>
    </row>
    <row r="145" spans="1:16" x14ac:dyDescent="0.25">
      <c r="A145" s="99"/>
      <c r="B145" s="24" t="s">
        <v>642</v>
      </c>
      <c r="C145" s="18"/>
      <c r="D145" s="73">
        <v>81.599999999999994</v>
      </c>
      <c r="E145" s="74">
        <v>13.7</v>
      </c>
      <c r="F145" s="19">
        <v>4.7</v>
      </c>
      <c r="G145" s="58">
        <v>46.1</v>
      </c>
      <c r="H145" s="59">
        <v>6.5</v>
      </c>
      <c r="I145" s="59">
        <v>44.5</v>
      </c>
      <c r="J145" s="59">
        <v>2.6</v>
      </c>
      <c r="K145" s="60">
        <v>0.27</v>
      </c>
      <c r="L145" s="18"/>
      <c r="M145" s="19"/>
      <c r="N145" s="24" t="s">
        <v>579</v>
      </c>
    </row>
    <row r="146" spans="1:16" x14ac:dyDescent="0.25">
      <c r="A146" s="99"/>
      <c r="B146" s="24" t="s">
        <v>911</v>
      </c>
      <c r="C146" s="18"/>
      <c r="D146" s="73">
        <v>78.56</v>
      </c>
      <c r="E146" s="74">
        <v>15.29</v>
      </c>
      <c r="F146" s="19">
        <v>6.7</v>
      </c>
      <c r="G146" s="58">
        <v>50.2</v>
      </c>
      <c r="H146" s="59">
        <v>7.8</v>
      </c>
      <c r="I146" s="59">
        <v>33.6</v>
      </c>
      <c r="J146" s="59">
        <v>2.1</v>
      </c>
      <c r="K146" s="60"/>
      <c r="L146" s="18"/>
      <c r="M146" s="19">
        <v>16.739999999999998</v>
      </c>
      <c r="N146" s="24" t="s">
        <v>791</v>
      </c>
      <c r="P146" s="6" t="s">
        <v>473</v>
      </c>
    </row>
    <row r="147" spans="1:16" x14ac:dyDescent="0.25">
      <c r="A147" s="99"/>
      <c r="B147" s="24" t="s">
        <v>643</v>
      </c>
      <c r="C147" s="18">
        <v>7.5</v>
      </c>
      <c r="D147" s="73">
        <v>73.5</v>
      </c>
      <c r="E147" s="74">
        <v>15.7</v>
      </c>
      <c r="F147" s="19">
        <v>3.3</v>
      </c>
      <c r="G147" s="58">
        <v>48.4</v>
      </c>
      <c r="H147" s="59">
        <v>6</v>
      </c>
      <c r="I147" s="59">
        <v>44.5</v>
      </c>
      <c r="J147" s="59">
        <v>1</v>
      </c>
      <c r="K147" s="60">
        <v>0.15</v>
      </c>
      <c r="L147" s="18"/>
      <c r="M147" s="19"/>
      <c r="N147" s="24" t="s">
        <v>579</v>
      </c>
    </row>
    <row r="148" spans="1:16" x14ac:dyDescent="0.25">
      <c r="A148" s="99"/>
      <c r="B148" s="24" t="s">
        <v>644</v>
      </c>
      <c r="C148" s="18"/>
      <c r="D148" s="73">
        <v>79.400000000000006</v>
      </c>
      <c r="E148" s="74">
        <v>17</v>
      </c>
      <c r="F148" s="19">
        <v>3.6</v>
      </c>
      <c r="G148" s="58">
        <v>48.4</v>
      </c>
      <c r="H148" s="59">
        <v>6</v>
      </c>
      <c r="I148" s="59">
        <v>44.5</v>
      </c>
      <c r="J148" s="59">
        <v>1</v>
      </c>
      <c r="K148" s="60">
        <v>0.15</v>
      </c>
      <c r="L148" s="18"/>
      <c r="M148" s="19"/>
      <c r="N148" s="24" t="s">
        <v>579</v>
      </c>
    </row>
    <row r="149" spans="1:16" x14ac:dyDescent="0.25">
      <c r="A149" s="99"/>
      <c r="B149" s="24" t="s">
        <v>921</v>
      </c>
      <c r="C149" s="18"/>
      <c r="D149" s="73">
        <v>82</v>
      </c>
      <c r="E149" s="74">
        <v>16.84</v>
      </c>
      <c r="F149" s="19">
        <v>1.1599999999999999</v>
      </c>
      <c r="G149" s="58">
        <v>41.91</v>
      </c>
      <c r="H149" s="59">
        <v>6.07</v>
      </c>
      <c r="I149" s="59">
        <v>49.82</v>
      </c>
      <c r="J149" s="59">
        <v>1.02</v>
      </c>
      <c r="K149" s="60"/>
      <c r="L149" s="18"/>
      <c r="M149" s="19">
        <v>16.7</v>
      </c>
      <c r="N149" s="24" t="s">
        <v>791</v>
      </c>
      <c r="P149" s="6" t="s">
        <v>133</v>
      </c>
    </row>
    <row r="150" spans="1:16" x14ac:dyDescent="0.25">
      <c r="A150" s="99"/>
      <c r="B150" s="24" t="s">
        <v>651</v>
      </c>
      <c r="C150" s="18">
        <v>11.3</v>
      </c>
      <c r="D150" s="73">
        <v>72.400000000000006</v>
      </c>
      <c r="E150" s="74">
        <v>12.6</v>
      </c>
      <c r="F150" s="19">
        <v>3.7</v>
      </c>
      <c r="G150" s="58">
        <v>49.4</v>
      </c>
      <c r="H150" s="59">
        <v>6.3</v>
      </c>
      <c r="I150" s="59">
        <v>44</v>
      </c>
      <c r="J150" s="59">
        <v>0.3</v>
      </c>
      <c r="K150" s="60">
        <v>0.05</v>
      </c>
      <c r="L150" s="18"/>
      <c r="M150" s="19"/>
      <c r="N150" s="24" t="s">
        <v>579</v>
      </c>
    </row>
    <row r="151" spans="1:16" x14ac:dyDescent="0.25">
      <c r="A151" s="99"/>
      <c r="B151" s="24" t="s">
        <v>652</v>
      </c>
      <c r="C151" s="18"/>
      <c r="D151" s="73">
        <v>81.599999999999994</v>
      </c>
      <c r="E151" s="74">
        <v>14.2</v>
      </c>
      <c r="F151" s="19">
        <v>4.2</v>
      </c>
      <c r="G151" s="58">
        <v>49.4</v>
      </c>
      <c r="H151" s="59">
        <v>6.3</v>
      </c>
      <c r="I151" s="59">
        <v>44</v>
      </c>
      <c r="J151" s="59">
        <v>0.3</v>
      </c>
      <c r="K151" s="60">
        <v>0.05</v>
      </c>
      <c r="L151" s="18"/>
      <c r="M151" s="19"/>
      <c r="N151" s="24" t="s">
        <v>579</v>
      </c>
    </row>
    <row r="152" spans="1:16" x14ac:dyDescent="0.25">
      <c r="A152" s="99"/>
      <c r="B152" s="24" t="s">
        <v>653</v>
      </c>
      <c r="C152" s="18">
        <v>7</v>
      </c>
      <c r="D152" s="73">
        <v>71.8</v>
      </c>
      <c r="E152" s="74">
        <v>16.8</v>
      </c>
      <c r="F152" s="19">
        <v>4.4000000000000004</v>
      </c>
      <c r="G152" s="58">
        <v>49.7</v>
      </c>
      <c r="H152" s="59">
        <v>6.1</v>
      </c>
      <c r="I152" s="59">
        <v>43.7</v>
      </c>
      <c r="J152" s="59">
        <v>0.4</v>
      </c>
      <c r="K152" s="60">
        <v>0.09</v>
      </c>
      <c r="L152" s="18"/>
      <c r="M152" s="19"/>
      <c r="N152" s="24" t="s">
        <v>579</v>
      </c>
    </row>
    <row r="153" spans="1:16" x14ac:dyDescent="0.25">
      <c r="A153" s="99"/>
      <c r="B153" s="24" t="s">
        <v>654</v>
      </c>
      <c r="C153" s="18"/>
      <c r="D153" s="73">
        <v>77.2</v>
      </c>
      <c r="E153" s="74">
        <v>18.100000000000001</v>
      </c>
      <c r="F153" s="19">
        <v>4.7</v>
      </c>
      <c r="G153" s="58">
        <v>49.7</v>
      </c>
      <c r="H153" s="59">
        <v>6.1</v>
      </c>
      <c r="I153" s="59">
        <v>43.7</v>
      </c>
      <c r="J153" s="59">
        <v>0.4</v>
      </c>
      <c r="K153" s="60">
        <v>0.09</v>
      </c>
      <c r="L153" s="18"/>
      <c r="M153" s="19"/>
      <c r="N153" s="24" t="s">
        <v>579</v>
      </c>
    </row>
    <row r="154" spans="1:16" x14ac:dyDescent="0.25">
      <c r="A154" s="99"/>
      <c r="B154" s="24" t="s">
        <v>649</v>
      </c>
      <c r="C154" s="18">
        <v>11.9</v>
      </c>
      <c r="D154" s="73">
        <v>70.8</v>
      </c>
      <c r="E154" s="74">
        <v>12.8</v>
      </c>
      <c r="F154" s="19">
        <v>4.5</v>
      </c>
      <c r="G154" s="58">
        <v>49.7</v>
      </c>
      <c r="H154" s="59">
        <v>6.1</v>
      </c>
      <c r="I154" s="59">
        <v>43.4</v>
      </c>
      <c r="J154" s="59">
        <v>0.7</v>
      </c>
      <c r="K154" s="60">
        <v>0.11</v>
      </c>
      <c r="L154" s="18"/>
      <c r="M154" s="19"/>
      <c r="N154" s="24" t="s">
        <v>579</v>
      </c>
    </row>
    <row r="155" spans="1:16" x14ac:dyDescent="0.25">
      <c r="A155" s="99"/>
      <c r="B155" s="24" t="s">
        <v>650</v>
      </c>
      <c r="C155" s="18"/>
      <c r="D155" s="73">
        <v>80.400000000000006</v>
      </c>
      <c r="E155" s="74">
        <v>14.5</v>
      </c>
      <c r="F155" s="19">
        <v>5.0999999999999996</v>
      </c>
      <c r="G155" s="58">
        <v>49.7</v>
      </c>
      <c r="H155" s="59">
        <v>6.1</v>
      </c>
      <c r="I155" s="59">
        <v>43.4</v>
      </c>
      <c r="J155" s="59">
        <v>0.7</v>
      </c>
      <c r="K155" s="60">
        <v>0.11</v>
      </c>
      <c r="L155" s="18"/>
      <c r="M155" s="19"/>
      <c r="N155" s="24" t="s">
        <v>579</v>
      </c>
    </row>
    <row r="156" spans="1:16" x14ac:dyDescent="0.25">
      <c r="A156" s="99"/>
      <c r="B156" s="24" t="s">
        <v>920</v>
      </c>
      <c r="C156" s="18"/>
      <c r="D156" s="73">
        <v>76.69</v>
      </c>
      <c r="E156" s="74">
        <v>14.34</v>
      </c>
      <c r="F156" s="19">
        <v>8.9700000000000006</v>
      </c>
      <c r="G156" s="58">
        <v>46.68</v>
      </c>
      <c r="H156" s="59">
        <v>5.82</v>
      </c>
      <c r="I156" s="59">
        <v>37.380000000000003</v>
      </c>
      <c r="J156" s="59">
        <v>0.77</v>
      </c>
      <c r="K156" s="60"/>
      <c r="L156" s="18"/>
      <c r="M156" s="19">
        <v>18.059999999999999</v>
      </c>
      <c r="N156" s="24" t="s">
        <v>791</v>
      </c>
      <c r="P156" s="6" t="s">
        <v>500</v>
      </c>
    </row>
    <row r="157" spans="1:16" x14ac:dyDescent="0.25">
      <c r="A157" s="99"/>
      <c r="B157" s="24" t="s">
        <v>569</v>
      </c>
      <c r="C157" s="18">
        <v>7.82</v>
      </c>
      <c r="D157" s="73">
        <v>72.040000000000006</v>
      </c>
      <c r="E157" s="74">
        <v>15.46</v>
      </c>
      <c r="F157" s="19">
        <v>4.68</v>
      </c>
      <c r="G157" s="58">
        <v>47.5</v>
      </c>
      <c r="H157" s="59">
        <v>5.57</v>
      </c>
      <c r="I157" s="59">
        <v>45.28</v>
      </c>
      <c r="J157" s="59">
        <v>0.65</v>
      </c>
      <c r="K157" s="60"/>
      <c r="L157" s="18"/>
      <c r="M157" s="19">
        <v>19.8</v>
      </c>
      <c r="N157" s="24" t="s">
        <v>570</v>
      </c>
    </row>
    <row r="158" spans="1:16" x14ac:dyDescent="0.25">
      <c r="A158" s="100"/>
      <c r="B158" s="51" t="s">
        <v>568</v>
      </c>
      <c r="C158" s="26">
        <v>11.9</v>
      </c>
      <c r="D158" s="27">
        <v>83.6</v>
      </c>
      <c r="E158" s="35"/>
      <c r="F158" s="28">
        <v>4.5</v>
      </c>
      <c r="G158" s="61">
        <v>49.7</v>
      </c>
      <c r="H158" s="62">
        <v>6.1</v>
      </c>
      <c r="I158" s="62">
        <v>43.4</v>
      </c>
      <c r="J158" s="62">
        <v>0.7</v>
      </c>
      <c r="K158" s="63">
        <v>0.1</v>
      </c>
      <c r="L158" s="26"/>
      <c r="M158" s="28">
        <v>19.8</v>
      </c>
      <c r="N158" s="51" t="s">
        <v>22</v>
      </c>
    </row>
    <row r="159" spans="1:16" x14ac:dyDescent="0.25">
      <c r="A159" s="98" t="s">
        <v>178</v>
      </c>
      <c r="B159" s="50" t="s">
        <v>515</v>
      </c>
      <c r="C159" s="37">
        <v>10.6</v>
      </c>
      <c r="D159" s="32">
        <v>73.3</v>
      </c>
      <c r="E159" s="30"/>
      <c r="F159" s="33">
        <v>16.100000000000001</v>
      </c>
      <c r="G159" s="64">
        <v>49.3</v>
      </c>
      <c r="H159" s="65">
        <v>6.1</v>
      </c>
      <c r="I159" s="65">
        <v>43.7</v>
      </c>
      <c r="J159" s="65">
        <v>0.8</v>
      </c>
      <c r="K159" s="66">
        <v>0.1</v>
      </c>
      <c r="L159" s="37"/>
      <c r="M159" s="33">
        <v>16</v>
      </c>
      <c r="N159" s="50" t="s">
        <v>22</v>
      </c>
    </row>
    <row r="160" spans="1:16" x14ac:dyDescent="0.25">
      <c r="A160" s="99"/>
      <c r="B160" s="24" t="s">
        <v>516</v>
      </c>
      <c r="C160" s="18">
        <v>9.9600000000000009</v>
      </c>
      <c r="D160" s="73">
        <v>54.68</v>
      </c>
      <c r="E160" s="74">
        <v>15.02</v>
      </c>
      <c r="F160" s="19">
        <v>20.61</v>
      </c>
      <c r="G160" s="58">
        <v>34.94</v>
      </c>
      <c r="H160" s="59">
        <v>5.46</v>
      </c>
      <c r="I160" s="59">
        <v>38.86</v>
      </c>
      <c r="J160" s="59">
        <v>0.11</v>
      </c>
      <c r="K160" s="60">
        <v>0.02</v>
      </c>
      <c r="L160" s="18"/>
      <c r="M160" s="19">
        <v>13.47</v>
      </c>
      <c r="N160" s="24" t="s">
        <v>309</v>
      </c>
      <c r="P160" s="6" t="s">
        <v>518</v>
      </c>
    </row>
    <row r="161" spans="1:16" x14ac:dyDescent="0.25">
      <c r="A161" s="99"/>
      <c r="B161" s="24" t="s">
        <v>684</v>
      </c>
      <c r="C161" s="18">
        <v>10.6</v>
      </c>
      <c r="D161" s="73">
        <v>56.1</v>
      </c>
      <c r="E161" s="74">
        <v>17.2</v>
      </c>
      <c r="F161" s="19">
        <v>16.100000000000001</v>
      </c>
      <c r="G161" s="58">
        <v>49.3</v>
      </c>
      <c r="H161" s="59">
        <v>6.1</v>
      </c>
      <c r="I161" s="59">
        <v>43.7</v>
      </c>
      <c r="J161" s="59">
        <v>0.8</v>
      </c>
      <c r="K161" s="60">
        <v>0.08</v>
      </c>
      <c r="L161" s="18"/>
      <c r="M161" s="19"/>
      <c r="N161" s="24" t="s">
        <v>579</v>
      </c>
    </row>
    <row r="162" spans="1:16" x14ac:dyDescent="0.25">
      <c r="A162" s="99"/>
      <c r="B162" s="24" t="s">
        <v>685</v>
      </c>
      <c r="C162" s="18"/>
      <c r="D162" s="73">
        <v>62.8</v>
      </c>
      <c r="E162" s="74">
        <v>19.2</v>
      </c>
      <c r="F162" s="19">
        <v>18</v>
      </c>
      <c r="G162" s="58">
        <v>49.3</v>
      </c>
      <c r="H162" s="59">
        <v>6.1</v>
      </c>
      <c r="I162" s="59">
        <v>43.7</v>
      </c>
      <c r="J162" s="59">
        <v>0.8</v>
      </c>
      <c r="K162" s="60">
        <v>0.08</v>
      </c>
      <c r="L162" s="18"/>
      <c r="M162" s="19"/>
      <c r="N162" s="24" t="s">
        <v>579</v>
      </c>
    </row>
    <row r="163" spans="1:16" x14ac:dyDescent="0.25">
      <c r="A163" s="99"/>
      <c r="B163" s="24" t="s">
        <v>840</v>
      </c>
      <c r="C163" s="18"/>
      <c r="D163" s="73">
        <v>67.17</v>
      </c>
      <c r="E163" s="74">
        <v>19.399999999999999</v>
      </c>
      <c r="F163" s="19">
        <v>13.43</v>
      </c>
      <c r="G163" s="58">
        <v>38.03</v>
      </c>
      <c r="H163" s="59">
        <v>4.91</v>
      </c>
      <c r="I163" s="59">
        <v>44.88</v>
      </c>
      <c r="J163" s="59">
        <v>0.32</v>
      </c>
      <c r="K163" s="60"/>
      <c r="L163" s="18"/>
      <c r="M163" s="19"/>
      <c r="N163" s="24" t="s">
        <v>791</v>
      </c>
      <c r="P163" s="6" t="s">
        <v>815</v>
      </c>
    </row>
    <row r="164" spans="1:16" x14ac:dyDescent="0.25">
      <c r="A164" s="99"/>
      <c r="B164" s="24" t="s">
        <v>841</v>
      </c>
      <c r="C164" s="18"/>
      <c r="D164" s="73">
        <v>61.6</v>
      </c>
      <c r="E164" s="74">
        <v>14.9</v>
      </c>
      <c r="F164" s="19">
        <v>23.5</v>
      </c>
      <c r="G164" s="58">
        <v>38.9</v>
      </c>
      <c r="H164" s="59">
        <v>5.0999999999999996</v>
      </c>
      <c r="I164" s="59">
        <v>32</v>
      </c>
      <c r="J164" s="59">
        <v>0.6</v>
      </c>
      <c r="K164" s="60"/>
      <c r="L164" s="18"/>
      <c r="M164" s="19">
        <v>15.29</v>
      </c>
      <c r="N164" s="24" t="s">
        <v>791</v>
      </c>
      <c r="P164" s="6" t="s">
        <v>486</v>
      </c>
    </row>
    <row r="165" spans="1:16" x14ac:dyDescent="0.25">
      <c r="A165" s="99"/>
      <c r="B165" s="24" t="s">
        <v>900</v>
      </c>
      <c r="C165" s="18"/>
      <c r="D165" s="73">
        <v>77.77</v>
      </c>
      <c r="E165" s="74">
        <v>18.39</v>
      </c>
      <c r="F165" s="19">
        <v>3.84</v>
      </c>
      <c r="G165" s="58">
        <v>42.46</v>
      </c>
      <c r="H165" s="59">
        <v>7.07</v>
      </c>
      <c r="I165" s="59">
        <v>46.14</v>
      </c>
      <c r="J165" s="59">
        <v>0.23</v>
      </c>
      <c r="K165" s="60"/>
      <c r="L165" s="18"/>
      <c r="M165" s="19">
        <v>16.649999999999999</v>
      </c>
      <c r="N165" s="24" t="s">
        <v>791</v>
      </c>
      <c r="P165" s="6" t="s">
        <v>798</v>
      </c>
    </row>
    <row r="166" spans="1:16" x14ac:dyDescent="0.25">
      <c r="A166" s="99"/>
      <c r="B166" s="24" t="s">
        <v>901</v>
      </c>
      <c r="C166" s="18"/>
      <c r="D166" s="73"/>
      <c r="E166" s="74"/>
      <c r="F166" s="19">
        <v>7.8</v>
      </c>
      <c r="G166" s="58">
        <v>44.8</v>
      </c>
      <c r="H166" s="59">
        <v>6.2</v>
      </c>
      <c r="I166" s="59">
        <v>41.7</v>
      </c>
      <c r="J166" s="59">
        <v>1</v>
      </c>
      <c r="K166" s="60"/>
      <c r="L166" s="18"/>
      <c r="M166" s="19">
        <v>17.2</v>
      </c>
      <c r="N166" s="24" t="s">
        <v>791</v>
      </c>
      <c r="P166" s="6" t="s">
        <v>511</v>
      </c>
    </row>
    <row r="167" spans="1:16" x14ac:dyDescent="0.25">
      <c r="A167" s="99"/>
      <c r="B167" s="24" t="s">
        <v>679</v>
      </c>
      <c r="C167" s="18">
        <v>10.8</v>
      </c>
      <c r="D167" s="73">
        <v>68.2</v>
      </c>
      <c r="E167" s="74">
        <v>18.5</v>
      </c>
      <c r="F167" s="19">
        <v>2.5</v>
      </c>
      <c r="G167" s="58">
        <v>45.4</v>
      </c>
      <c r="H167" s="59">
        <v>4.9000000000000004</v>
      </c>
      <c r="I167" s="59">
        <v>48.3</v>
      </c>
      <c r="J167" s="59">
        <v>1.1000000000000001</v>
      </c>
      <c r="K167" s="60">
        <v>0.35</v>
      </c>
      <c r="L167" s="18"/>
      <c r="M167" s="19"/>
      <c r="N167" s="24" t="s">
        <v>579</v>
      </c>
    </row>
    <row r="168" spans="1:16" x14ac:dyDescent="0.25">
      <c r="A168" s="99"/>
      <c r="B168" s="24" t="s">
        <v>692</v>
      </c>
      <c r="C168" s="18"/>
      <c r="D168" s="73">
        <v>76.5</v>
      </c>
      <c r="E168" s="74">
        <v>20.7</v>
      </c>
      <c r="F168" s="19">
        <v>2.8</v>
      </c>
      <c r="G168" s="58">
        <v>45.4</v>
      </c>
      <c r="H168" s="59">
        <v>4.9000000000000004</v>
      </c>
      <c r="I168" s="59">
        <v>48.3</v>
      </c>
      <c r="J168" s="59">
        <v>1.1000000000000001</v>
      </c>
      <c r="K168" s="60">
        <v>0.35</v>
      </c>
      <c r="L168" s="18"/>
      <c r="M168" s="19"/>
      <c r="N168" s="24" t="s">
        <v>579</v>
      </c>
    </row>
    <row r="169" spans="1:16" x14ac:dyDescent="0.25">
      <c r="A169" s="99"/>
      <c r="B169" s="24" t="s">
        <v>680</v>
      </c>
      <c r="C169" s="18">
        <v>6.9</v>
      </c>
      <c r="D169" s="73">
        <v>73</v>
      </c>
      <c r="E169" s="74">
        <v>16.899999999999999</v>
      </c>
      <c r="F169" s="19">
        <v>3.2</v>
      </c>
      <c r="G169" s="58">
        <v>50.4</v>
      </c>
      <c r="H169" s="59">
        <v>8.4</v>
      </c>
      <c r="I169" s="59">
        <v>39.799999999999997</v>
      </c>
      <c r="J169" s="59">
        <v>1.4</v>
      </c>
      <c r="K169" s="60">
        <v>0.01</v>
      </c>
      <c r="L169" s="18"/>
      <c r="M169" s="19"/>
      <c r="N169" s="24" t="s">
        <v>579</v>
      </c>
    </row>
    <row r="170" spans="1:16" x14ac:dyDescent="0.25">
      <c r="A170" s="99"/>
      <c r="B170" s="24" t="s">
        <v>691</v>
      </c>
      <c r="C170" s="18"/>
      <c r="D170" s="73">
        <v>78.400000000000006</v>
      </c>
      <c r="E170" s="74">
        <v>18.2</v>
      </c>
      <c r="F170" s="19">
        <v>3.4</v>
      </c>
      <c r="G170" s="58">
        <v>50.4</v>
      </c>
      <c r="H170" s="59">
        <v>8.4</v>
      </c>
      <c r="I170" s="59">
        <v>39.799999999999997</v>
      </c>
      <c r="J170" s="59">
        <v>1.4</v>
      </c>
      <c r="K170" s="60">
        <v>0.01</v>
      </c>
      <c r="L170" s="18"/>
      <c r="M170" s="19"/>
      <c r="N170" s="24" t="s">
        <v>579</v>
      </c>
    </row>
    <row r="171" spans="1:16" x14ac:dyDescent="0.25">
      <c r="A171" s="99"/>
      <c r="B171" s="24" t="s">
        <v>681</v>
      </c>
      <c r="C171" s="18">
        <v>5.6</v>
      </c>
      <c r="D171" s="73">
        <v>68.5</v>
      </c>
      <c r="E171" s="74">
        <v>22</v>
      </c>
      <c r="F171" s="19">
        <v>3.9</v>
      </c>
      <c r="G171" s="58">
        <v>45.8</v>
      </c>
      <c r="H171" s="59">
        <v>9.1999999999999993</v>
      </c>
      <c r="I171" s="59">
        <v>44.4</v>
      </c>
      <c r="J171" s="59">
        <v>0.4</v>
      </c>
      <c r="K171" s="60">
        <v>0.2</v>
      </c>
      <c r="L171" s="18"/>
      <c r="M171" s="19"/>
      <c r="N171" s="24" t="s">
        <v>579</v>
      </c>
    </row>
    <row r="172" spans="1:16" x14ac:dyDescent="0.25">
      <c r="A172" s="99"/>
      <c r="B172" s="24" t="s">
        <v>690</v>
      </c>
      <c r="C172" s="18"/>
      <c r="D172" s="73">
        <v>72.599999999999994</v>
      </c>
      <c r="E172" s="73">
        <v>23.3</v>
      </c>
      <c r="F172" s="25">
        <v>4.0999999999999996</v>
      </c>
      <c r="G172" s="58">
        <v>45.8</v>
      </c>
      <c r="H172" s="59">
        <v>9.1999999999999993</v>
      </c>
      <c r="I172" s="59">
        <v>44.4</v>
      </c>
      <c r="J172" s="59">
        <v>0.4</v>
      </c>
      <c r="K172" s="60">
        <v>0.2</v>
      </c>
      <c r="L172" s="18"/>
      <c r="M172" s="19"/>
      <c r="N172" s="24" t="s">
        <v>579</v>
      </c>
    </row>
    <row r="173" spans="1:16" x14ac:dyDescent="0.25">
      <c r="A173" s="99"/>
      <c r="B173" s="24" t="s">
        <v>682</v>
      </c>
      <c r="C173" s="18">
        <v>6.8</v>
      </c>
      <c r="D173" s="73">
        <v>73.7</v>
      </c>
      <c r="E173" s="74">
        <v>17.399999999999999</v>
      </c>
      <c r="F173" s="19">
        <v>2.1</v>
      </c>
      <c r="G173" s="58">
        <v>50</v>
      </c>
      <c r="H173" s="59">
        <v>6.2</v>
      </c>
      <c r="I173" s="59">
        <v>42.1</v>
      </c>
      <c r="J173" s="59">
        <v>1.6</v>
      </c>
      <c r="K173" s="60">
        <v>0.05</v>
      </c>
      <c r="L173" s="18"/>
      <c r="M173" s="19"/>
      <c r="N173" s="24" t="s">
        <v>579</v>
      </c>
    </row>
    <row r="174" spans="1:16" x14ac:dyDescent="0.25">
      <c r="A174" s="99"/>
      <c r="B174" s="24" t="s">
        <v>689</v>
      </c>
      <c r="C174" s="18"/>
      <c r="D174" s="73">
        <v>79</v>
      </c>
      <c r="E174" s="74">
        <v>18.7</v>
      </c>
      <c r="F174" s="19">
        <v>2.2999999999999998</v>
      </c>
      <c r="G174" s="58">
        <v>50</v>
      </c>
      <c r="H174" s="59">
        <v>6.2</v>
      </c>
      <c r="I174" s="59">
        <v>42.1</v>
      </c>
      <c r="J174" s="59">
        <v>1.6</v>
      </c>
      <c r="K174" s="60">
        <v>0.05</v>
      </c>
      <c r="L174" s="18"/>
      <c r="M174" s="19"/>
      <c r="N174" s="24" t="s">
        <v>579</v>
      </c>
    </row>
    <row r="175" spans="1:16" x14ac:dyDescent="0.25">
      <c r="A175" s="99"/>
      <c r="B175" s="24" t="s">
        <v>683</v>
      </c>
      <c r="C175" s="18">
        <v>6.3</v>
      </c>
      <c r="D175" s="73">
        <v>69.599999999999994</v>
      </c>
      <c r="E175" s="74">
        <v>19</v>
      </c>
      <c r="F175" s="19">
        <v>5.0999999999999996</v>
      </c>
      <c r="G175" s="58">
        <v>45.4</v>
      </c>
      <c r="H175" s="59">
        <v>6.7</v>
      </c>
      <c r="I175" s="59">
        <v>46.9</v>
      </c>
      <c r="J175" s="59">
        <v>0.9</v>
      </c>
      <c r="K175" s="60">
        <v>0.1</v>
      </c>
      <c r="L175" s="18"/>
      <c r="M175" s="19"/>
      <c r="N175" s="24" t="s">
        <v>579</v>
      </c>
    </row>
    <row r="176" spans="1:16" x14ac:dyDescent="0.25">
      <c r="A176" s="99"/>
      <c r="B176" s="24" t="s">
        <v>688</v>
      </c>
      <c r="C176" s="18"/>
      <c r="D176" s="73">
        <v>74.3</v>
      </c>
      <c r="E176" s="74">
        <v>20.3</v>
      </c>
      <c r="F176" s="19">
        <v>5.4</v>
      </c>
      <c r="G176" s="58">
        <v>45.4</v>
      </c>
      <c r="H176" s="59">
        <v>6.7</v>
      </c>
      <c r="I176" s="59">
        <v>46.9</v>
      </c>
      <c r="J176" s="59">
        <v>0.9</v>
      </c>
      <c r="K176" s="60">
        <v>0.1</v>
      </c>
      <c r="L176" s="18"/>
      <c r="M176" s="19"/>
      <c r="N176" s="24" t="s">
        <v>579</v>
      </c>
    </row>
    <row r="177" spans="1:16" x14ac:dyDescent="0.25">
      <c r="A177" s="99"/>
      <c r="B177" s="24" t="s">
        <v>686</v>
      </c>
      <c r="C177" s="18">
        <v>9.1</v>
      </c>
      <c r="D177" s="73">
        <v>69.099999999999994</v>
      </c>
      <c r="E177" s="74">
        <v>19</v>
      </c>
      <c r="F177" s="19">
        <v>2.8</v>
      </c>
      <c r="G177" s="58">
        <v>50.4</v>
      </c>
      <c r="H177" s="59">
        <v>5.5</v>
      </c>
      <c r="I177" s="59">
        <v>43</v>
      </c>
      <c r="J177" s="59">
        <v>1.1000000000000001</v>
      </c>
      <c r="K177" s="60">
        <v>0.03</v>
      </c>
      <c r="L177" s="18"/>
      <c r="M177" s="19"/>
      <c r="N177" s="24" t="s">
        <v>579</v>
      </c>
    </row>
    <row r="178" spans="1:16" x14ac:dyDescent="0.25">
      <c r="A178" s="99"/>
      <c r="B178" s="24" t="s">
        <v>687</v>
      </c>
      <c r="C178" s="18"/>
      <c r="D178" s="73">
        <v>76</v>
      </c>
      <c r="E178" s="74">
        <v>20.9</v>
      </c>
      <c r="F178" s="19">
        <v>3.1</v>
      </c>
      <c r="G178" s="58">
        <v>50.4</v>
      </c>
      <c r="H178" s="59">
        <v>5.5</v>
      </c>
      <c r="I178" s="59">
        <v>43</v>
      </c>
      <c r="J178" s="59">
        <v>1.1000000000000001</v>
      </c>
      <c r="K178" s="60">
        <v>0.03</v>
      </c>
      <c r="L178" s="18"/>
      <c r="M178" s="19"/>
      <c r="N178" s="24" t="s">
        <v>579</v>
      </c>
    </row>
    <row r="179" spans="1:16" x14ac:dyDescent="0.25">
      <c r="A179" s="99"/>
      <c r="B179" s="24" t="s">
        <v>703</v>
      </c>
      <c r="C179" s="18">
        <v>36.4</v>
      </c>
      <c r="D179" s="73">
        <v>46.3</v>
      </c>
      <c r="E179" s="74">
        <v>12</v>
      </c>
      <c r="F179" s="19">
        <v>5.3</v>
      </c>
      <c r="G179" s="58">
        <v>51.5</v>
      </c>
      <c r="H179" s="59">
        <v>6.6</v>
      </c>
      <c r="I179" s="59">
        <v>40.1</v>
      </c>
      <c r="J179" s="59">
        <v>1.5</v>
      </c>
      <c r="K179" s="60">
        <v>0.3</v>
      </c>
      <c r="L179" s="18"/>
      <c r="M179" s="19"/>
      <c r="N179" s="24" t="s">
        <v>579</v>
      </c>
    </row>
    <row r="180" spans="1:16" x14ac:dyDescent="0.25">
      <c r="A180" s="99"/>
      <c r="B180" s="24" t="s">
        <v>704</v>
      </c>
      <c r="C180" s="18"/>
      <c r="D180" s="73">
        <v>72.8</v>
      </c>
      <c r="E180" s="74">
        <v>18.899999999999999</v>
      </c>
      <c r="F180" s="19">
        <v>8.3000000000000007</v>
      </c>
      <c r="G180" s="58">
        <v>51.5</v>
      </c>
      <c r="H180" s="59">
        <v>6.6</v>
      </c>
      <c r="I180" s="59">
        <v>40.1</v>
      </c>
      <c r="J180" s="59">
        <v>1.5</v>
      </c>
      <c r="K180" s="60">
        <v>0.3</v>
      </c>
      <c r="L180" s="18"/>
      <c r="M180" s="19"/>
      <c r="N180" s="24" t="s">
        <v>579</v>
      </c>
    </row>
    <row r="181" spans="1:16" x14ac:dyDescent="0.25">
      <c r="A181" s="99"/>
      <c r="B181" s="24" t="s">
        <v>812</v>
      </c>
      <c r="C181" s="18">
        <v>8.3800000000000008</v>
      </c>
      <c r="D181" s="73">
        <v>71.599999999999994</v>
      </c>
      <c r="E181" s="74"/>
      <c r="F181" s="19">
        <v>5.63</v>
      </c>
      <c r="G181" s="58">
        <v>55.89</v>
      </c>
      <c r="H181" s="59">
        <v>6.57</v>
      </c>
      <c r="I181" s="59">
        <v>28.25</v>
      </c>
      <c r="J181" s="59">
        <v>9.2899999999999991</v>
      </c>
      <c r="K181" s="60"/>
      <c r="L181" s="18"/>
      <c r="M181" s="19">
        <v>23.23</v>
      </c>
      <c r="N181" s="24" t="s">
        <v>268</v>
      </c>
      <c r="P181" s="6" t="s">
        <v>473</v>
      </c>
    </row>
    <row r="182" spans="1:16" x14ac:dyDescent="0.25">
      <c r="A182" s="99"/>
      <c r="B182" s="24" t="s">
        <v>813</v>
      </c>
      <c r="C182" s="18"/>
      <c r="D182" s="73">
        <v>78.17</v>
      </c>
      <c r="E182" s="74">
        <v>15.72</v>
      </c>
      <c r="F182" s="19">
        <v>6.08</v>
      </c>
      <c r="G182" s="58">
        <v>52.67</v>
      </c>
      <c r="H182" s="59">
        <v>7</v>
      </c>
      <c r="I182" s="59">
        <v>26.62</v>
      </c>
      <c r="J182" s="59">
        <v>8.75</v>
      </c>
      <c r="K182" s="60"/>
      <c r="L182" s="18"/>
      <c r="M182" s="19">
        <v>17.45</v>
      </c>
      <c r="N182" s="24" t="s">
        <v>791</v>
      </c>
      <c r="P182" s="6" t="s">
        <v>473</v>
      </c>
    </row>
    <row r="183" spans="1:16" x14ac:dyDescent="0.25">
      <c r="A183" s="99"/>
      <c r="B183" s="24" t="s">
        <v>273</v>
      </c>
      <c r="C183" s="18">
        <v>5.65</v>
      </c>
      <c r="D183" s="73">
        <v>79.349999999999994</v>
      </c>
      <c r="E183" s="74"/>
      <c r="F183" s="19">
        <v>1.6</v>
      </c>
      <c r="G183" s="58">
        <v>48.64</v>
      </c>
      <c r="H183" s="59">
        <v>7.01</v>
      </c>
      <c r="I183" s="59">
        <v>42.33</v>
      </c>
      <c r="J183" s="59">
        <v>2.02</v>
      </c>
      <c r="K183" s="60"/>
      <c r="L183" s="18"/>
      <c r="M183" s="19"/>
      <c r="N183" s="24" t="s">
        <v>274</v>
      </c>
      <c r="P183" s="6" t="s">
        <v>473</v>
      </c>
    </row>
    <row r="184" spans="1:16" x14ac:dyDescent="0.25">
      <c r="A184" s="99"/>
      <c r="B184" s="24" t="s">
        <v>272</v>
      </c>
      <c r="C184" s="18">
        <v>8.52</v>
      </c>
      <c r="D184" s="73">
        <v>66.48</v>
      </c>
      <c r="E184" s="74"/>
      <c r="F184" s="19">
        <v>3.52</v>
      </c>
      <c r="G184" s="58">
        <v>47.27</v>
      </c>
      <c r="H184" s="59">
        <v>5.88</v>
      </c>
      <c r="I184" s="59">
        <v>45.08</v>
      </c>
      <c r="J184" s="59">
        <v>1.77</v>
      </c>
      <c r="K184" s="60"/>
      <c r="L184" s="18"/>
      <c r="M184" s="19"/>
      <c r="N184" s="24" t="s">
        <v>274</v>
      </c>
      <c r="P184" s="6" t="s">
        <v>473</v>
      </c>
    </row>
    <row r="185" spans="1:16" x14ac:dyDescent="0.25">
      <c r="A185" s="99"/>
      <c r="B185" s="24" t="s">
        <v>693</v>
      </c>
      <c r="C185" s="18">
        <v>10</v>
      </c>
      <c r="D185" s="73">
        <v>59.2</v>
      </c>
      <c r="E185" s="74">
        <v>23.8</v>
      </c>
      <c r="F185" s="19">
        <v>7</v>
      </c>
      <c r="G185" s="58">
        <v>54</v>
      </c>
      <c r="H185" s="59">
        <v>6.1</v>
      </c>
      <c r="I185" s="59">
        <v>37.4</v>
      </c>
      <c r="J185" s="59">
        <v>2.4</v>
      </c>
      <c r="K185" s="60">
        <v>0.15</v>
      </c>
      <c r="L185" s="18"/>
      <c r="M185" s="19"/>
      <c r="N185" s="24" t="s">
        <v>579</v>
      </c>
    </row>
    <row r="186" spans="1:16" x14ac:dyDescent="0.25">
      <c r="A186" s="99"/>
      <c r="B186" s="24" t="s">
        <v>694</v>
      </c>
      <c r="C186" s="18"/>
      <c r="D186" s="73">
        <v>65.8</v>
      </c>
      <c r="E186" s="74">
        <v>26.4</v>
      </c>
      <c r="F186" s="19">
        <v>7.8</v>
      </c>
      <c r="G186" s="58">
        <v>54</v>
      </c>
      <c r="H186" s="59">
        <v>6.1</v>
      </c>
      <c r="I186" s="59">
        <v>37.4</v>
      </c>
      <c r="J186" s="59">
        <v>2.4</v>
      </c>
      <c r="K186" s="60">
        <v>0.15</v>
      </c>
      <c r="L186" s="18"/>
      <c r="M186" s="19"/>
      <c r="N186" s="24" t="s">
        <v>579</v>
      </c>
    </row>
    <row r="187" spans="1:16" x14ac:dyDescent="0.25">
      <c r="A187" s="99"/>
      <c r="B187" s="24" t="s">
        <v>870</v>
      </c>
      <c r="C187" s="18"/>
      <c r="D187" s="73">
        <v>68.540000000000006</v>
      </c>
      <c r="E187" s="74">
        <v>21.98</v>
      </c>
      <c r="F187" s="19">
        <v>9.48</v>
      </c>
      <c r="G187" s="58">
        <v>52.91</v>
      </c>
      <c r="H187" s="59">
        <v>5.93</v>
      </c>
      <c r="I187" s="59">
        <v>30.41</v>
      </c>
      <c r="J187" s="59">
        <v>1.86</v>
      </c>
      <c r="K187" s="60"/>
      <c r="L187" s="18"/>
      <c r="M187" s="19">
        <v>20.34</v>
      </c>
      <c r="N187" s="24" t="s">
        <v>791</v>
      </c>
      <c r="P187" s="6" t="s">
        <v>500</v>
      </c>
    </row>
    <row r="188" spans="1:16" x14ac:dyDescent="0.25">
      <c r="A188" s="99"/>
      <c r="B188" s="24" t="s">
        <v>289</v>
      </c>
      <c r="C188" s="18">
        <v>7.2</v>
      </c>
      <c r="D188" s="73">
        <v>75.3</v>
      </c>
      <c r="E188" s="74"/>
      <c r="F188" s="19">
        <v>5.6</v>
      </c>
      <c r="G188" s="58">
        <v>49.8</v>
      </c>
      <c r="H188" s="59">
        <v>6.4</v>
      </c>
      <c r="I188" s="59">
        <v>39.5</v>
      </c>
      <c r="J188" s="59">
        <v>3.4</v>
      </c>
      <c r="K188" s="60">
        <v>0.9</v>
      </c>
      <c r="L188" s="18"/>
      <c r="M188" s="19">
        <v>23.3</v>
      </c>
      <c r="N188" s="24" t="s">
        <v>282</v>
      </c>
      <c r="P188" s="6" t="s">
        <v>473</v>
      </c>
    </row>
    <row r="189" spans="1:16" x14ac:dyDescent="0.25">
      <c r="A189" s="99"/>
      <c r="B189" s="24" t="s">
        <v>281</v>
      </c>
      <c r="C189" s="18">
        <v>8.6</v>
      </c>
      <c r="D189" s="73">
        <v>70.599999999999994</v>
      </c>
      <c r="E189" s="74"/>
      <c r="F189" s="19">
        <v>6</v>
      </c>
      <c r="G189" s="58">
        <v>51.3</v>
      </c>
      <c r="H189" s="59">
        <v>7.2</v>
      </c>
      <c r="I189" s="59">
        <v>35.1</v>
      </c>
      <c r="J189" s="59">
        <v>5.5</v>
      </c>
      <c r="K189" s="60">
        <v>0.9</v>
      </c>
      <c r="L189" s="18"/>
      <c r="M189" s="19">
        <v>23.6</v>
      </c>
      <c r="N189" s="24" t="s">
        <v>282</v>
      </c>
      <c r="P189" s="6" t="s">
        <v>473</v>
      </c>
    </row>
    <row r="190" spans="1:16" x14ac:dyDescent="0.25">
      <c r="A190" s="99"/>
      <c r="B190" s="24" t="s">
        <v>925</v>
      </c>
      <c r="C190" s="18"/>
      <c r="D190" s="73">
        <v>74.09</v>
      </c>
      <c r="E190" s="74">
        <v>20.46</v>
      </c>
      <c r="F190" s="19">
        <v>5.45</v>
      </c>
      <c r="G190" s="58">
        <v>42.07</v>
      </c>
      <c r="H190" s="59">
        <v>6.12</v>
      </c>
      <c r="I190" s="59">
        <v>45.18</v>
      </c>
      <c r="J190" s="59">
        <v>0.97</v>
      </c>
      <c r="K190" s="60"/>
      <c r="L190" s="18"/>
      <c r="M190" s="19">
        <v>16.309999999999999</v>
      </c>
      <c r="N190" s="24" t="s">
        <v>791</v>
      </c>
      <c r="P190" s="6" t="s">
        <v>798</v>
      </c>
    </row>
    <row r="191" spans="1:16" x14ac:dyDescent="0.25">
      <c r="A191" s="99"/>
      <c r="B191" s="24" t="s">
        <v>850</v>
      </c>
      <c r="C191" s="18"/>
      <c r="D191" s="73">
        <v>73.290000000000006</v>
      </c>
      <c r="E191" s="74"/>
      <c r="F191" s="19">
        <v>5.51</v>
      </c>
      <c r="G191" s="58">
        <v>47.05</v>
      </c>
      <c r="H191" s="59">
        <v>5.35</v>
      </c>
      <c r="I191" s="59">
        <v>40.770000000000003</v>
      </c>
      <c r="J191" s="59">
        <v>0.65</v>
      </c>
      <c r="K191" s="60">
        <v>0.21</v>
      </c>
      <c r="L191" s="18">
        <v>17.100000000000001</v>
      </c>
      <c r="M191" s="19"/>
      <c r="N191" s="24" t="s">
        <v>113</v>
      </c>
    </row>
    <row r="192" spans="1:16" x14ac:dyDescent="0.25">
      <c r="A192" s="99"/>
      <c r="B192" s="24" t="s">
        <v>463</v>
      </c>
      <c r="C192" s="18"/>
      <c r="D192" s="73">
        <v>76.099999999999994</v>
      </c>
      <c r="E192" s="74">
        <v>18.8</v>
      </c>
      <c r="F192" s="19">
        <v>5.0999999999999996</v>
      </c>
      <c r="G192" s="58">
        <v>47.07</v>
      </c>
      <c r="H192" s="59">
        <v>4.58</v>
      </c>
      <c r="I192" s="59">
        <v>42.1</v>
      </c>
      <c r="J192" s="59">
        <v>1.1499999999999999</v>
      </c>
      <c r="K192" s="60"/>
      <c r="L192" s="18"/>
      <c r="M192" s="19"/>
      <c r="N192" s="24" t="s">
        <v>791</v>
      </c>
      <c r="P192" s="6" t="s">
        <v>808</v>
      </c>
    </row>
    <row r="193" spans="1:16" x14ac:dyDescent="0.25">
      <c r="A193" s="99"/>
      <c r="B193" s="24" t="s">
        <v>809</v>
      </c>
      <c r="C193" s="18"/>
      <c r="D193" s="73">
        <v>78.5</v>
      </c>
      <c r="E193" s="74">
        <v>16.829999999999998</v>
      </c>
      <c r="F193" s="19">
        <v>4.9000000000000004</v>
      </c>
      <c r="G193" s="58">
        <v>47.5</v>
      </c>
      <c r="H193" s="59">
        <v>5.88</v>
      </c>
      <c r="I193" s="59">
        <v>42.73</v>
      </c>
      <c r="J193" s="59">
        <v>1.1100000000000001</v>
      </c>
      <c r="K193" s="60"/>
      <c r="L193" s="18"/>
      <c r="M193" s="19"/>
      <c r="N193" s="24" t="s">
        <v>791</v>
      </c>
      <c r="P193" s="6" t="s">
        <v>798</v>
      </c>
    </row>
    <row r="194" spans="1:16" x14ac:dyDescent="0.25">
      <c r="A194" s="99"/>
      <c r="B194" s="24" t="s">
        <v>926</v>
      </c>
      <c r="C194" s="18"/>
      <c r="D194" s="73">
        <v>67.3</v>
      </c>
      <c r="E194" s="74">
        <v>15.1</v>
      </c>
      <c r="F194" s="19">
        <v>17.600000000000001</v>
      </c>
      <c r="G194" s="58">
        <v>39.590000000000003</v>
      </c>
      <c r="H194" s="59">
        <v>5.26</v>
      </c>
      <c r="I194" s="59">
        <v>36.380000000000003</v>
      </c>
      <c r="J194" s="59">
        <v>2.09</v>
      </c>
      <c r="K194" s="60"/>
      <c r="L194" s="18"/>
      <c r="M194" s="19">
        <v>16.420000000000002</v>
      </c>
      <c r="N194" s="24" t="s">
        <v>791</v>
      </c>
      <c r="P194" s="6" t="s">
        <v>500</v>
      </c>
    </row>
    <row r="195" spans="1:16" x14ac:dyDescent="0.25">
      <c r="A195" s="99"/>
      <c r="B195" s="24" t="s">
        <v>927</v>
      </c>
      <c r="C195" s="18"/>
      <c r="D195" s="73">
        <v>83.21</v>
      </c>
      <c r="E195" s="74">
        <v>11.39</v>
      </c>
      <c r="F195" s="19">
        <v>5.4</v>
      </c>
      <c r="G195" s="58">
        <v>42.7</v>
      </c>
      <c r="H195" s="59">
        <v>6</v>
      </c>
      <c r="I195" s="59">
        <v>49.5</v>
      </c>
      <c r="J195" s="59">
        <v>0.1</v>
      </c>
      <c r="K195" s="60"/>
      <c r="L195" s="18"/>
      <c r="M195" s="19">
        <v>17.48</v>
      </c>
      <c r="N195" s="24" t="s">
        <v>791</v>
      </c>
      <c r="P195" s="6" t="s">
        <v>486</v>
      </c>
    </row>
    <row r="196" spans="1:16" x14ac:dyDescent="0.25">
      <c r="A196" s="99"/>
      <c r="B196" s="24" t="s">
        <v>851</v>
      </c>
      <c r="C196" s="18"/>
      <c r="D196" s="73">
        <v>73.3</v>
      </c>
      <c r="E196" s="74">
        <v>19.09</v>
      </c>
      <c r="F196" s="19">
        <v>7.61</v>
      </c>
      <c r="G196" s="58">
        <v>45.63</v>
      </c>
      <c r="H196" s="59">
        <v>5.44</v>
      </c>
      <c r="I196" s="59">
        <v>40.369999999999997</v>
      </c>
      <c r="J196" s="59">
        <v>0.73</v>
      </c>
      <c r="K196" s="60"/>
      <c r="L196" s="18"/>
      <c r="M196" s="19">
        <v>17.89</v>
      </c>
      <c r="N196" s="24" t="s">
        <v>791</v>
      </c>
      <c r="P196" s="6" t="s">
        <v>798</v>
      </c>
    </row>
    <row r="197" spans="1:16" x14ac:dyDescent="0.25">
      <c r="A197" s="99"/>
      <c r="B197" s="24" t="s">
        <v>792</v>
      </c>
      <c r="C197" s="18"/>
      <c r="D197" s="73">
        <v>68</v>
      </c>
      <c r="E197" s="74">
        <v>24.9</v>
      </c>
      <c r="F197" s="19">
        <v>7.1</v>
      </c>
      <c r="G197" s="58">
        <v>44</v>
      </c>
      <c r="H197" s="59">
        <v>4.7</v>
      </c>
      <c r="I197" s="59">
        <v>43.4</v>
      </c>
      <c r="J197" s="59">
        <v>0.7</v>
      </c>
      <c r="K197" s="60"/>
      <c r="L197" s="18"/>
      <c r="M197" s="19">
        <v>18.07</v>
      </c>
      <c r="N197" s="24" t="s">
        <v>791</v>
      </c>
      <c r="P197" s="6" t="s">
        <v>486</v>
      </c>
    </row>
    <row r="198" spans="1:16" x14ac:dyDescent="0.25">
      <c r="A198" s="99"/>
      <c r="B198" s="24" t="s">
        <v>793</v>
      </c>
      <c r="C198" s="18"/>
      <c r="D198" s="73">
        <v>70.89</v>
      </c>
      <c r="E198" s="74">
        <v>18.63</v>
      </c>
      <c r="F198" s="19">
        <v>8.81</v>
      </c>
      <c r="G198" s="58">
        <v>50.17</v>
      </c>
      <c r="H198" s="59">
        <v>6.88</v>
      </c>
      <c r="I198" s="59">
        <v>34.5</v>
      </c>
      <c r="J198" s="59">
        <v>0.25</v>
      </c>
      <c r="K198" s="60"/>
      <c r="L198" s="18"/>
      <c r="M198" s="19"/>
      <c r="N198" s="24" t="s">
        <v>791</v>
      </c>
      <c r="P198" s="6" t="s">
        <v>798</v>
      </c>
    </row>
    <row r="199" spans="1:16" x14ac:dyDescent="0.25">
      <c r="A199" s="99"/>
      <c r="B199" s="24" t="s">
        <v>794</v>
      </c>
      <c r="C199" s="18"/>
      <c r="D199" s="73">
        <v>86.5</v>
      </c>
      <c r="E199" s="74">
        <v>12.5</v>
      </c>
      <c r="F199" s="19">
        <v>1</v>
      </c>
      <c r="G199" s="58">
        <v>48.51</v>
      </c>
      <c r="H199" s="59">
        <v>5.35</v>
      </c>
      <c r="I199" s="59">
        <v>44.16</v>
      </c>
      <c r="J199" s="59"/>
      <c r="K199" s="60"/>
      <c r="L199" s="18"/>
      <c r="M199" s="19">
        <v>17</v>
      </c>
      <c r="N199" s="24" t="s">
        <v>791</v>
      </c>
      <c r="P199" s="6" t="s">
        <v>473</v>
      </c>
    </row>
    <row r="200" spans="1:16" x14ac:dyDescent="0.25">
      <c r="A200" s="99"/>
      <c r="B200" s="24" t="s">
        <v>795</v>
      </c>
      <c r="C200" s="18"/>
      <c r="D200" s="73">
        <v>83</v>
      </c>
      <c r="E200" s="74">
        <v>14.2</v>
      </c>
      <c r="F200" s="19">
        <v>2.8</v>
      </c>
      <c r="G200" s="58">
        <v>47.6</v>
      </c>
      <c r="H200" s="59">
        <v>5</v>
      </c>
      <c r="I200" s="59">
        <v>44.6</v>
      </c>
      <c r="J200" s="59"/>
      <c r="K200" s="60"/>
      <c r="L200" s="18"/>
      <c r="M200" s="19">
        <v>15.65</v>
      </c>
      <c r="N200" s="24" t="s">
        <v>791</v>
      </c>
      <c r="P200" s="6" t="s">
        <v>486</v>
      </c>
    </row>
    <row r="201" spans="1:16" x14ac:dyDescent="0.25">
      <c r="A201" s="99"/>
      <c r="B201" s="24" t="s">
        <v>796</v>
      </c>
      <c r="C201" s="18"/>
      <c r="D201" s="73">
        <v>78.17</v>
      </c>
      <c r="E201" s="74">
        <v>18.71</v>
      </c>
      <c r="F201" s="19">
        <v>3.12</v>
      </c>
      <c r="G201" s="58">
        <v>46.51</v>
      </c>
      <c r="H201" s="59">
        <v>5.68</v>
      </c>
      <c r="I201" s="59">
        <v>44.13</v>
      </c>
      <c r="J201" s="59">
        <v>0.47</v>
      </c>
      <c r="K201" s="60"/>
      <c r="L201" s="18"/>
      <c r="M201" s="19">
        <v>17.8</v>
      </c>
      <c r="N201" s="24" t="s">
        <v>791</v>
      </c>
      <c r="P201" s="6" t="s">
        <v>798</v>
      </c>
    </row>
    <row r="202" spans="1:16" x14ac:dyDescent="0.25">
      <c r="A202" s="99"/>
      <c r="B202" s="24" t="s">
        <v>797</v>
      </c>
      <c r="C202" s="18"/>
      <c r="D202" s="73">
        <v>88.43</v>
      </c>
      <c r="E202" s="74">
        <v>8.33</v>
      </c>
      <c r="F202" s="19">
        <v>3.24</v>
      </c>
      <c r="G202" s="58">
        <v>43.32</v>
      </c>
      <c r="H202" s="59">
        <v>6.02</v>
      </c>
      <c r="I202" s="59">
        <v>46.39</v>
      </c>
      <c r="J202" s="59">
        <v>0.93</v>
      </c>
      <c r="K202" s="60"/>
      <c r="L202" s="18"/>
      <c r="M202" s="19">
        <v>16.989999999999998</v>
      </c>
      <c r="N202" s="24" t="s">
        <v>791</v>
      </c>
      <c r="P202" s="6" t="s">
        <v>799</v>
      </c>
    </row>
    <row r="203" spans="1:16" x14ac:dyDescent="0.25">
      <c r="A203" s="99"/>
      <c r="B203" s="24" t="s">
        <v>800</v>
      </c>
      <c r="C203" s="18"/>
      <c r="D203" s="73">
        <v>74.599999999999994</v>
      </c>
      <c r="E203" s="74">
        <v>18.600000000000001</v>
      </c>
      <c r="F203" s="19">
        <v>6.8</v>
      </c>
      <c r="G203" s="58">
        <v>41.9</v>
      </c>
      <c r="H203" s="59">
        <v>5.3</v>
      </c>
      <c r="I203" s="59">
        <v>46</v>
      </c>
      <c r="J203" s="59"/>
      <c r="K203" s="60"/>
      <c r="L203" s="18"/>
      <c r="M203" s="19">
        <v>16.54</v>
      </c>
      <c r="N203" s="24" t="s">
        <v>791</v>
      </c>
      <c r="P203" s="6" t="s">
        <v>486</v>
      </c>
    </row>
    <row r="204" spans="1:16" x14ac:dyDescent="0.25">
      <c r="A204" s="99"/>
      <c r="B204" s="24" t="s">
        <v>801</v>
      </c>
      <c r="C204" s="18"/>
      <c r="D204" s="73">
        <v>73.44</v>
      </c>
      <c r="E204" s="74">
        <v>19.54</v>
      </c>
      <c r="F204" s="19">
        <v>7.02</v>
      </c>
      <c r="G204" s="58">
        <v>44.777000000000001</v>
      </c>
      <c r="H204" s="59">
        <v>5.4</v>
      </c>
      <c r="I204" s="59">
        <v>41.76</v>
      </c>
      <c r="J204" s="59">
        <v>0.85</v>
      </c>
      <c r="K204" s="60"/>
      <c r="L204" s="18"/>
      <c r="M204" s="19">
        <v>16.940000000000001</v>
      </c>
      <c r="N204" s="24" t="s">
        <v>791</v>
      </c>
      <c r="P204" s="6" t="s">
        <v>798</v>
      </c>
    </row>
    <row r="205" spans="1:16" x14ac:dyDescent="0.25">
      <c r="A205" s="99"/>
      <c r="B205" s="24" t="s">
        <v>802</v>
      </c>
      <c r="C205" s="18"/>
      <c r="D205" s="73">
        <v>73.819999999999993</v>
      </c>
      <c r="E205" s="74">
        <v>15.02</v>
      </c>
      <c r="F205" s="19">
        <v>11.18</v>
      </c>
      <c r="G205" s="58">
        <v>45.29</v>
      </c>
      <c r="H205" s="59">
        <v>7.15</v>
      </c>
      <c r="I205" s="59">
        <v>37.950000000000003</v>
      </c>
      <c r="J205" s="59">
        <v>0.6</v>
      </c>
      <c r="K205" s="60"/>
      <c r="L205" s="18"/>
      <c r="M205" s="19">
        <v>12.83</v>
      </c>
      <c r="N205" s="24" t="s">
        <v>791</v>
      </c>
      <c r="P205" s="6" t="s">
        <v>473</v>
      </c>
    </row>
    <row r="206" spans="1:16" x14ac:dyDescent="0.25">
      <c r="A206" s="99"/>
      <c r="B206" s="24" t="s">
        <v>716</v>
      </c>
      <c r="C206" s="18">
        <v>23.5</v>
      </c>
      <c r="D206" s="73">
        <v>61.8</v>
      </c>
      <c r="E206" s="74">
        <v>12.9</v>
      </c>
      <c r="F206" s="19">
        <v>1.8</v>
      </c>
      <c r="G206" s="58">
        <v>54.9</v>
      </c>
      <c r="H206" s="59">
        <v>6.7</v>
      </c>
      <c r="I206" s="59">
        <v>36.9</v>
      </c>
      <c r="J206" s="59">
        <v>1.4</v>
      </c>
      <c r="K206" s="60">
        <v>0.11</v>
      </c>
      <c r="L206" s="18"/>
      <c r="M206" s="19"/>
      <c r="N206" s="24" t="s">
        <v>579</v>
      </c>
    </row>
    <row r="207" spans="1:16" x14ac:dyDescent="0.25">
      <c r="A207" s="99"/>
      <c r="B207" s="24" t="s">
        <v>717</v>
      </c>
      <c r="C207" s="18"/>
      <c r="D207" s="73">
        <v>80.7</v>
      </c>
      <c r="E207" s="74">
        <v>16.899999999999999</v>
      </c>
      <c r="F207" s="19">
        <v>2.4</v>
      </c>
      <c r="G207" s="58">
        <v>54.9</v>
      </c>
      <c r="H207" s="59">
        <v>6.7</v>
      </c>
      <c r="I207" s="59">
        <v>36.9</v>
      </c>
      <c r="J207" s="59">
        <v>1.4</v>
      </c>
      <c r="K207" s="60">
        <v>0.11</v>
      </c>
      <c r="L207" s="18"/>
      <c r="M207" s="19"/>
      <c r="N207" s="24" t="s">
        <v>579</v>
      </c>
    </row>
    <row r="208" spans="1:16" x14ac:dyDescent="0.25">
      <c r="A208" s="99"/>
      <c r="B208" s="24" t="s">
        <v>718</v>
      </c>
      <c r="C208" s="18">
        <v>47.9</v>
      </c>
      <c r="D208" s="73">
        <v>41.5</v>
      </c>
      <c r="E208" s="74">
        <v>9.1</v>
      </c>
      <c r="F208" s="19">
        <v>1.5</v>
      </c>
      <c r="G208" s="58">
        <v>55.1</v>
      </c>
      <c r="H208" s="59">
        <v>6.7</v>
      </c>
      <c r="I208" s="59">
        <v>36.5</v>
      </c>
      <c r="J208" s="59">
        <v>1.6</v>
      </c>
      <c r="K208" s="60">
        <v>0.12</v>
      </c>
      <c r="L208" s="18"/>
      <c r="M208" s="19"/>
      <c r="N208" s="24" t="s">
        <v>579</v>
      </c>
    </row>
    <row r="209" spans="1:16" x14ac:dyDescent="0.25">
      <c r="A209" s="99"/>
      <c r="B209" s="24" t="s">
        <v>719</v>
      </c>
      <c r="C209" s="18"/>
      <c r="D209" s="73">
        <v>79.599999999999994</v>
      </c>
      <c r="E209" s="74">
        <v>17.5</v>
      </c>
      <c r="F209" s="19">
        <v>2.9</v>
      </c>
      <c r="G209" s="58">
        <v>55.1</v>
      </c>
      <c r="H209" s="59">
        <v>6.7</v>
      </c>
      <c r="I209" s="59">
        <v>36.5</v>
      </c>
      <c r="J209" s="59">
        <v>1.6</v>
      </c>
      <c r="K209" s="60">
        <v>0.12</v>
      </c>
      <c r="L209" s="18"/>
      <c r="M209" s="19"/>
      <c r="N209" s="24" t="s">
        <v>579</v>
      </c>
    </row>
    <row r="210" spans="1:16" x14ac:dyDescent="0.25">
      <c r="A210" s="99"/>
      <c r="B210" s="24" t="s">
        <v>276</v>
      </c>
      <c r="C210" s="18">
        <v>4.7</v>
      </c>
      <c r="D210" s="73">
        <v>73.5</v>
      </c>
      <c r="E210" s="74"/>
      <c r="F210" s="19">
        <v>8.6</v>
      </c>
      <c r="G210" s="58">
        <v>52.05</v>
      </c>
      <c r="H210" s="59">
        <v>5.37</v>
      </c>
      <c r="I210" s="59">
        <v>42.1</v>
      </c>
      <c r="J210" s="59">
        <v>0.49</v>
      </c>
      <c r="K210" s="60"/>
      <c r="L210" s="18"/>
      <c r="M210" s="19"/>
      <c r="N210" s="24" t="s">
        <v>279</v>
      </c>
      <c r="P210" s="6" t="s">
        <v>472</v>
      </c>
    </row>
    <row r="211" spans="1:16" x14ac:dyDescent="0.25">
      <c r="A211" s="99"/>
      <c r="B211" s="24" t="s">
        <v>705</v>
      </c>
      <c r="C211" s="18">
        <v>11</v>
      </c>
      <c r="D211" s="73">
        <v>68.8</v>
      </c>
      <c r="E211" s="74">
        <v>15.6</v>
      </c>
      <c r="F211" s="19">
        <v>4.5999999999999996</v>
      </c>
      <c r="G211" s="58">
        <v>51</v>
      </c>
      <c r="H211" s="59">
        <v>6.5</v>
      </c>
      <c r="I211" s="59">
        <v>39.5</v>
      </c>
      <c r="J211" s="59">
        <v>2.7</v>
      </c>
      <c r="K211" s="60">
        <v>0.27</v>
      </c>
      <c r="L211" s="18"/>
      <c r="M211" s="19"/>
      <c r="N211" s="24" t="s">
        <v>579</v>
      </c>
    </row>
    <row r="212" spans="1:16" x14ac:dyDescent="0.25">
      <c r="A212" s="99"/>
      <c r="B212" s="24" t="s">
        <v>706</v>
      </c>
      <c r="C212" s="18"/>
      <c r="D212" s="73">
        <v>77.3</v>
      </c>
      <c r="E212" s="74">
        <v>17.5</v>
      </c>
      <c r="F212" s="19">
        <v>5.2</v>
      </c>
      <c r="G212" s="58">
        <v>51</v>
      </c>
      <c r="H212" s="59">
        <v>6.5</v>
      </c>
      <c r="I212" s="59">
        <v>39.5</v>
      </c>
      <c r="J212" s="59">
        <v>2.7</v>
      </c>
      <c r="K212" s="60">
        <v>0.27</v>
      </c>
      <c r="L212" s="18"/>
      <c r="M212" s="19"/>
      <c r="N212" s="24" t="s">
        <v>579</v>
      </c>
    </row>
    <row r="213" spans="1:16" x14ac:dyDescent="0.25">
      <c r="A213" s="99"/>
      <c r="B213" s="24" t="s">
        <v>707</v>
      </c>
      <c r="C213" s="18">
        <v>6.5</v>
      </c>
      <c r="D213" s="73">
        <v>60.5</v>
      </c>
      <c r="E213" s="74">
        <v>19.5</v>
      </c>
      <c r="F213" s="19">
        <v>13.5</v>
      </c>
      <c r="G213" s="58">
        <v>42.2</v>
      </c>
      <c r="H213" s="59">
        <v>5</v>
      </c>
      <c r="I213" s="59">
        <v>49</v>
      </c>
      <c r="J213" s="59">
        <v>3.2</v>
      </c>
      <c r="K213" s="60">
        <v>0.56999999999999995</v>
      </c>
      <c r="L213" s="18"/>
      <c r="M213" s="19"/>
      <c r="N213" s="24" t="s">
        <v>579</v>
      </c>
    </row>
    <row r="214" spans="1:16" x14ac:dyDescent="0.25">
      <c r="A214" s="99"/>
      <c r="B214" s="24" t="s">
        <v>708</v>
      </c>
      <c r="C214" s="18"/>
      <c r="D214" s="73">
        <v>64.7</v>
      </c>
      <c r="E214" s="74">
        <v>20.9</v>
      </c>
      <c r="F214" s="19">
        <v>14.4</v>
      </c>
      <c r="G214" s="58">
        <v>42.2</v>
      </c>
      <c r="H214" s="59">
        <v>5</v>
      </c>
      <c r="I214" s="59">
        <v>49</v>
      </c>
      <c r="J214" s="59">
        <v>3.2</v>
      </c>
      <c r="K214" s="60">
        <v>0.56999999999999995</v>
      </c>
      <c r="L214" s="18"/>
      <c r="M214" s="19"/>
      <c r="N214" s="24" t="s">
        <v>579</v>
      </c>
    </row>
    <row r="215" spans="1:16" x14ac:dyDescent="0.25">
      <c r="A215" s="99"/>
      <c r="B215" s="24" t="s">
        <v>709</v>
      </c>
      <c r="C215" s="18">
        <v>9.6999999999999993</v>
      </c>
      <c r="D215" s="73">
        <v>58.5</v>
      </c>
      <c r="E215" s="74">
        <v>24.4</v>
      </c>
      <c r="F215" s="19">
        <v>7.4</v>
      </c>
      <c r="G215" s="58">
        <v>45.7</v>
      </c>
      <c r="H215" s="59">
        <v>3.2</v>
      </c>
      <c r="I215" s="59">
        <v>47.1</v>
      </c>
      <c r="J215" s="59">
        <v>3.4</v>
      </c>
      <c r="K215" s="60">
        <v>0.6</v>
      </c>
      <c r="L215" s="18"/>
      <c r="M215" s="19"/>
      <c r="N215" s="24" t="s">
        <v>579</v>
      </c>
    </row>
    <row r="216" spans="1:16" x14ac:dyDescent="0.25">
      <c r="A216" s="99"/>
      <c r="B216" s="24" t="s">
        <v>710</v>
      </c>
      <c r="C216" s="18"/>
      <c r="D216" s="73">
        <v>64.8</v>
      </c>
      <c r="E216" s="74">
        <v>27</v>
      </c>
      <c r="F216" s="19">
        <v>8.1999999999999993</v>
      </c>
      <c r="G216" s="58">
        <v>45.7</v>
      </c>
      <c r="H216" s="59">
        <v>3.2</v>
      </c>
      <c r="I216" s="59">
        <v>47.1</v>
      </c>
      <c r="J216" s="59">
        <v>3.4</v>
      </c>
      <c r="K216" s="60">
        <v>0.6</v>
      </c>
      <c r="L216" s="18"/>
      <c r="M216" s="19"/>
      <c r="N216" s="24" t="s">
        <v>579</v>
      </c>
    </row>
    <row r="217" spans="1:16" x14ac:dyDescent="0.25">
      <c r="A217" s="99"/>
      <c r="B217" s="24" t="s">
        <v>277</v>
      </c>
      <c r="C217" s="18">
        <v>6.9</v>
      </c>
      <c r="D217" s="73">
        <v>79.400000000000006</v>
      </c>
      <c r="E217" s="74">
        <v>10.8</v>
      </c>
      <c r="F217" s="19">
        <v>2.9</v>
      </c>
      <c r="G217" s="58">
        <v>43.06</v>
      </c>
      <c r="H217" s="59">
        <v>5.98</v>
      </c>
      <c r="I217" s="59">
        <v>50.42</v>
      </c>
      <c r="J217" s="59">
        <v>0.55000000000000004</v>
      </c>
      <c r="K217" s="60"/>
      <c r="L217" s="18"/>
      <c r="M217" s="19"/>
      <c r="N217" s="24" t="s">
        <v>279</v>
      </c>
      <c r="P217" s="6" t="s">
        <v>472</v>
      </c>
    </row>
    <row r="218" spans="1:16" x14ac:dyDescent="0.25">
      <c r="A218" s="99"/>
      <c r="B218" s="24" t="s">
        <v>278</v>
      </c>
      <c r="C218" s="18">
        <v>8.6</v>
      </c>
      <c r="D218" s="73">
        <v>78</v>
      </c>
      <c r="E218" s="74"/>
      <c r="F218" s="19">
        <v>5.8</v>
      </c>
      <c r="G218" s="58">
        <v>45.03</v>
      </c>
      <c r="H218" s="59">
        <v>6.15</v>
      </c>
      <c r="I218" s="59">
        <v>47.89</v>
      </c>
      <c r="J218" s="59">
        <v>0.94</v>
      </c>
      <c r="K218" s="60"/>
      <c r="L218" s="18"/>
      <c r="M218" s="19"/>
      <c r="N218" s="24" t="s">
        <v>279</v>
      </c>
      <c r="P218" s="6" t="s">
        <v>472</v>
      </c>
    </row>
    <row r="219" spans="1:16" x14ac:dyDescent="0.25">
      <c r="A219" s="99"/>
      <c r="B219" s="24" t="s">
        <v>114</v>
      </c>
      <c r="C219" s="18">
        <v>7.87</v>
      </c>
      <c r="D219" s="73">
        <v>69.540000000000006</v>
      </c>
      <c r="E219" s="74"/>
      <c r="F219" s="19">
        <v>6.97</v>
      </c>
      <c r="G219" s="58"/>
      <c r="H219" s="59"/>
      <c r="I219" s="59"/>
      <c r="J219" s="59"/>
      <c r="K219" s="60"/>
      <c r="L219" s="18">
        <v>15.99</v>
      </c>
      <c r="M219" s="19"/>
      <c r="N219" s="24" t="s">
        <v>96</v>
      </c>
    </row>
    <row r="220" spans="1:16" x14ac:dyDescent="0.25">
      <c r="A220" s="99"/>
      <c r="B220" s="24" t="s">
        <v>102</v>
      </c>
      <c r="C220" s="18">
        <v>8.6999999999999993</v>
      </c>
      <c r="D220" s="73">
        <v>74.8</v>
      </c>
      <c r="E220" s="74"/>
      <c r="F220" s="19">
        <v>6.63</v>
      </c>
      <c r="G220" s="58">
        <v>52.43</v>
      </c>
      <c r="H220" s="59">
        <v>6.09</v>
      </c>
      <c r="I220" s="59">
        <v>40.86</v>
      </c>
      <c r="J220" s="59">
        <v>0.62</v>
      </c>
      <c r="K220" s="60">
        <v>0</v>
      </c>
      <c r="L220" s="18"/>
      <c r="M220" s="19">
        <v>19.100000000000001</v>
      </c>
      <c r="N220" s="24" t="s">
        <v>103</v>
      </c>
    </row>
    <row r="221" spans="1:16" x14ac:dyDescent="0.25">
      <c r="A221" s="99"/>
      <c r="B221" s="24" t="s">
        <v>99</v>
      </c>
      <c r="C221" s="18">
        <v>10.6</v>
      </c>
      <c r="D221" s="73">
        <v>70.400000000000006</v>
      </c>
      <c r="E221" s="74"/>
      <c r="F221" s="19">
        <v>3.7</v>
      </c>
      <c r="G221" s="58">
        <v>44.82</v>
      </c>
      <c r="H221" s="59">
        <v>5.08</v>
      </c>
      <c r="I221" s="59">
        <v>49.18</v>
      </c>
      <c r="J221" s="59">
        <v>0.92</v>
      </c>
      <c r="K221" s="60">
        <v>0</v>
      </c>
      <c r="L221" s="18"/>
      <c r="M221" s="19"/>
      <c r="N221" s="24" t="s">
        <v>100</v>
      </c>
    </row>
    <row r="222" spans="1:16" x14ac:dyDescent="0.25">
      <c r="A222" s="99"/>
      <c r="B222" s="24" t="s">
        <v>701</v>
      </c>
      <c r="C222" s="18">
        <v>10.6</v>
      </c>
      <c r="D222" s="73">
        <v>60.2</v>
      </c>
      <c r="E222" s="74">
        <v>22.8</v>
      </c>
      <c r="F222" s="19">
        <v>6.4</v>
      </c>
      <c r="G222" s="58">
        <v>58.4</v>
      </c>
      <c r="H222" s="59">
        <v>5.8</v>
      </c>
      <c r="I222" s="59">
        <v>34.200000000000003</v>
      </c>
      <c r="J222" s="59">
        <v>1.4</v>
      </c>
      <c r="K222" s="60">
        <v>0.23</v>
      </c>
      <c r="L222" s="18"/>
      <c r="M222" s="19"/>
      <c r="N222" s="24" t="s">
        <v>579</v>
      </c>
    </row>
    <row r="223" spans="1:16" x14ac:dyDescent="0.25">
      <c r="A223" s="99"/>
      <c r="B223" s="24" t="s">
        <v>702</v>
      </c>
      <c r="C223" s="18"/>
      <c r="D223" s="73">
        <v>67.3</v>
      </c>
      <c r="E223" s="74">
        <v>25.5</v>
      </c>
      <c r="F223" s="19">
        <v>7.2</v>
      </c>
      <c r="G223" s="58">
        <v>58.4</v>
      </c>
      <c r="H223" s="59">
        <v>5.8</v>
      </c>
      <c r="I223" s="59">
        <v>34.200000000000003</v>
      </c>
      <c r="J223" s="59">
        <v>1.4</v>
      </c>
      <c r="K223" s="60">
        <v>0.23</v>
      </c>
      <c r="L223" s="18"/>
      <c r="M223" s="19"/>
      <c r="N223" s="24" t="s">
        <v>579</v>
      </c>
    </row>
    <row r="224" spans="1:16" x14ac:dyDescent="0.25">
      <c r="A224" s="99"/>
      <c r="B224" s="24" t="s">
        <v>513</v>
      </c>
      <c r="C224" s="18">
        <v>13.8</v>
      </c>
      <c r="D224" s="73">
        <v>83.1</v>
      </c>
      <c r="E224" s="74"/>
      <c r="F224" s="19">
        <v>3.1</v>
      </c>
      <c r="G224" s="58">
        <v>60.3</v>
      </c>
      <c r="H224" s="59">
        <v>6.4</v>
      </c>
      <c r="I224" s="59">
        <v>31.9</v>
      </c>
      <c r="J224" s="59">
        <v>1.4</v>
      </c>
      <c r="K224" s="60">
        <v>0.01</v>
      </c>
      <c r="L224" s="18"/>
      <c r="M224" s="19">
        <v>16.7</v>
      </c>
      <c r="N224" s="24" t="s">
        <v>309</v>
      </c>
      <c r="P224" s="6" t="s">
        <v>131</v>
      </c>
    </row>
    <row r="225" spans="1:16" x14ac:dyDescent="0.25">
      <c r="A225" s="99"/>
      <c r="B225" s="24" t="s">
        <v>699</v>
      </c>
      <c r="C225" s="18">
        <v>6.1</v>
      </c>
      <c r="D225" s="73">
        <v>72.3</v>
      </c>
      <c r="E225" s="74">
        <v>18.7</v>
      </c>
      <c r="F225" s="19">
        <v>2.9</v>
      </c>
      <c r="G225" s="58">
        <v>52.8</v>
      </c>
      <c r="H225" s="59">
        <v>6.6</v>
      </c>
      <c r="I225" s="59">
        <v>39.4</v>
      </c>
      <c r="J225" s="59">
        <v>1.1000000000000001</v>
      </c>
      <c r="K225" s="60">
        <v>7.0000000000000007E-2</v>
      </c>
      <c r="L225" s="18"/>
      <c r="M225" s="19"/>
      <c r="N225" s="24" t="s">
        <v>579</v>
      </c>
    </row>
    <row r="226" spans="1:16" x14ac:dyDescent="0.25">
      <c r="A226" s="99"/>
      <c r="B226" s="24" t="s">
        <v>700</v>
      </c>
      <c r="C226" s="18"/>
      <c r="D226" s="73">
        <v>77</v>
      </c>
      <c r="E226" s="74">
        <v>19.899999999999999</v>
      </c>
      <c r="F226" s="19">
        <v>3.1</v>
      </c>
      <c r="G226" s="58">
        <v>52.8</v>
      </c>
      <c r="H226" s="59">
        <v>6.6</v>
      </c>
      <c r="I226" s="59">
        <v>39.4</v>
      </c>
      <c r="J226" s="59">
        <v>1.1000000000000001</v>
      </c>
      <c r="K226" s="60">
        <v>7.0000000000000007E-2</v>
      </c>
      <c r="L226" s="18"/>
      <c r="M226" s="19"/>
      <c r="N226" s="24" t="s">
        <v>579</v>
      </c>
    </row>
    <row r="227" spans="1:16" x14ac:dyDescent="0.25">
      <c r="A227" s="99"/>
      <c r="B227" s="24" t="s">
        <v>912</v>
      </c>
      <c r="C227" s="18"/>
      <c r="D227" s="73">
        <v>83.1</v>
      </c>
      <c r="E227" s="74">
        <v>16.03</v>
      </c>
      <c r="F227" s="19">
        <v>0.87</v>
      </c>
      <c r="G227" s="58">
        <v>51.02</v>
      </c>
      <c r="H227" s="59">
        <v>6.26</v>
      </c>
      <c r="I227" s="59">
        <v>41.6</v>
      </c>
      <c r="J227" s="59">
        <v>0.22</v>
      </c>
      <c r="K227" s="60"/>
      <c r="L227" s="18"/>
      <c r="M227" s="19">
        <v>20.22</v>
      </c>
      <c r="N227" s="24" t="s">
        <v>791</v>
      </c>
      <c r="P227" s="6" t="s">
        <v>295</v>
      </c>
    </row>
    <row r="228" spans="1:16" x14ac:dyDescent="0.25">
      <c r="A228" s="99"/>
      <c r="B228" s="24" t="s">
        <v>913</v>
      </c>
      <c r="C228" s="18"/>
      <c r="D228" s="73">
        <v>83.75</v>
      </c>
      <c r="E228" s="74">
        <v>15.67</v>
      </c>
      <c r="F228" s="19">
        <v>0.57999999999999996</v>
      </c>
      <c r="G228" s="58">
        <v>50.94</v>
      </c>
      <c r="H228" s="59">
        <v>5.94</v>
      </c>
      <c r="I228" s="59">
        <v>42.42</v>
      </c>
      <c r="J228" s="59">
        <v>0.1</v>
      </c>
      <c r="K228" s="60"/>
      <c r="L228" s="18"/>
      <c r="M228" s="19">
        <v>20.309999999999999</v>
      </c>
      <c r="N228" s="24" t="s">
        <v>791</v>
      </c>
      <c r="P228" s="6" t="s">
        <v>295</v>
      </c>
    </row>
    <row r="229" spans="1:16" x14ac:dyDescent="0.25">
      <c r="A229" s="99"/>
      <c r="B229" s="24" t="s">
        <v>914</v>
      </c>
      <c r="C229" s="18"/>
      <c r="D229" s="73">
        <v>82.04</v>
      </c>
      <c r="E229" s="74">
        <v>16.559999999999999</v>
      </c>
      <c r="F229" s="19">
        <v>1.4</v>
      </c>
      <c r="G229" s="58">
        <v>51.35</v>
      </c>
      <c r="H229" s="59">
        <v>5.9</v>
      </c>
      <c r="I229" s="59">
        <v>41.28</v>
      </c>
      <c r="J229" s="59">
        <v>0.16</v>
      </c>
      <c r="K229" s="60"/>
      <c r="L229" s="18"/>
      <c r="M229" s="19">
        <v>20.59</v>
      </c>
      <c r="N229" s="24" t="s">
        <v>791</v>
      </c>
      <c r="P229" s="6" t="s">
        <v>295</v>
      </c>
    </row>
    <row r="230" spans="1:16" x14ac:dyDescent="0.25">
      <c r="A230" s="99"/>
      <c r="B230" s="24" t="s">
        <v>915</v>
      </c>
      <c r="C230" s="18"/>
      <c r="D230" s="73">
        <v>81.209999999999994</v>
      </c>
      <c r="E230" s="74">
        <v>17.899999999999999</v>
      </c>
      <c r="F230" s="19">
        <v>0.89</v>
      </c>
      <c r="G230" s="58">
        <v>51.31</v>
      </c>
      <c r="H230" s="59">
        <v>5.92</v>
      </c>
      <c r="I230" s="59">
        <v>41.36</v>
      </c>
      <c r="J230" s="59">
        <v>0.24</v>
      </c>
      <c r="K230" s="60"/>
      <c r="L230" s="18"/>
      <c r="M230" s="19">
        <v>20.76</v>
      </c>
      <c r="N230" s="24" t="s">
        <v>791</v>
      </c>
      <c r="P230" s="6" t="s">
        <v>295</v>
      </c>
    </row>
    <row r="231" spans="1:16" x14ac:dyDescent="0.25">
      <c r="A231" s="99"/>
      <c r="B231" s="24" t="s">
        <v>916</v>
      </c>
      <c r="C231" s="18"/>
      <c r="D231" s="73">
        <v>83.31</v>
      </c>
      <c r="E231" s="74">
        <v>15.6</v>
      </c>
      <c r="F231" s="19">
        <v>1.0900000000000001</v>
      </c>
      <c r="G231" s="58">
        <v>50.64</v>
      </c>
      <c r="H231" s="59">
        <v>5.92</v>
      </c>
      <c r="I231" s="59">
        <v>41.22</v>
      </c>
      <c r="J231" s="59">
        <v>0.09</v>
      </c>
      <c r="K231" s="60"/>
      <c r="L231" s="18"/>
      <c r="M231" s="19">
        <v>20.170000000000002</v>
      </c>
      <c r="N231" s="24" t="s">
        <v>791</v>
      </c>
      <c r="P231" s="6" t="s">
        <v>295</v>
      </c>
    </row>
    <row r="232" spans="1:16" x14ac:dyDescent="0.25">
      <c r="A232" s="99"/>
      <c r="B232" s="24" t="s">
        <v>917</v>
      </c>
      <c r="C232" s="18"/>
      <c r="D232" s="73">
        <v>82.54</v>
      </c>
      <c r="E232" s="74">
        <v>16.77</v>
      </c>
      <c r="F232" s="19">
        <v>0.69</v>
      </c>
      <c r="G232" s="58">
        <v>52.33</v>
      </c>
      <c r="H232" s="59">
        <v>6.07</v>
      </c>
      <c r="I232" s="59">
        <v>40.76</v>
      </c>
      <c r="J232" s="59">
        <v>0.11</v>
      </c>
      <c r="K232" s="60"/>
      <c r="L232" s="18"/>
      <c r="M232" s="19">
        <v>21.07</v>
      </c>
      <c r="N232" s="24" t="s">
        <v>791</v>
      </c>
      <c r="P232" s="6" t="s">
        <v>295</v>
      </c>
    </row>
    <row r="233" spans="1:16" x14ac:dyDescent="0.25">
      <c r="A233" s="99"/>
      <c r="B233" s="24" t="s">
        <v>918</v>
      </c>
      <c r="C233" s="18"/>
      <c r="D233" s="73">
        <v>83.69</v>
      </c>
      <c r="E233" s="74">
        <v>15.75</v>
      </c>
      <c r="F233" s="19">
        <v>0.56000000000000005</v>
      </c>
      <c r="G233" s="58">
        <v>50.66</v>
      </c>
      <c r="H233" s="59">
        <v>5.91</v>
      </c>
      <c r="I233" s="59">
        <v>42.71</v>
      </c>
      <c r="J233" s="59">
        <v>0.12</v>
      </c>
      <c r="K233" s="60"/>
      <c r="L233" s="18"/>
      <c r="M233" s="19">
        <v>20.149999999999999</v>
      </c>
      <c r="N233" s="24" t="s">
        <v>791</v>
      </c>
      <c r="P233" s="6" t="s">
        <v>295</v>
      </c>
    </row>
    <row r="234" spans="1:16" x14ac:dyDescent="0.25">
      <c r="A234" s="99"/>
      <c r="B234" s="24" t="s">
        <v>932</v>
      </c>
      <c r="C234" s="18"/>
      <c r="D234" s="73">
        <v>70.3</v>
      </c>
      <c r="E234" s="74">
        <v>26.1</v>
      </c>
      <c r="F234" s="19">
        <v>3.6</v>
      </c>
      <c r="G234" s="58">
        <v>50</v>
      </c>
      <c r="H234" s="59">
        <v>6.2</v>
      </c>
      <c r="I234" s="59">
        <v>42.2</v>
      </c>
      <c r="J234" s="59">
        <v>1.6</v>
      </c>
      <c r="K234" s="60"/>
      <c r="L234" s="18"/>
      <c r="M234" s="19">
        <v>19</v>
      </c>
      <c r="N234" s="24" t="s">
        <v>791</v>
      </c>
      <c r="P234" s="6" t="s">
        <v>473</v>
      </c>
    </row>
    <row r="235" spans="1:16" x14ac:dyDescent="0.25">
      <c r="A235" s="99"/>
      <c r="B235" s="24" t="s">
        <v>934</v>
      </c>
      <c r="C235" s="18"/>
      <c r="D235" s="73">
        <v>78.650000000000006</v>
      </c>
      <c r="E235" s="74">
        <v>18.190000000000001</v>
      </c>
      <c r="F235" s="19">
        <v>3.16</v>
      </c>
      <c r="G235" s="58">
        <v>48.81</v>
      </c>
      <c r="H235" s="59">
        <v>6.23</v>
      </c>
      <c r="I235" s="59">
        <v>43.48</v>
      </c>
      <c r="J235" s="59">
        <v>0.36</v>
      </c>
      <c r="K235" s="60"/>
      <c r="L235" s="18"/>
      <c r="M235" s="19">
        <v>21.39</v>
      </c>
      <c r="N235" s="24" t="s">
        <v>791</v>
      </c>
      <c r="P235" s="6" t="s">
        <v>500</v>
      </c>
    </row>
    <row r="236" spans="1:16" x14ac:dyDescent="0.25">
      <c r="A236" s="99"/>
      <c r="B236" s="24" t="s">
        <v>933</v>
      </c>
      <c r="C236" s="18"/>
      <c r="D236" s="73">
        <v>72</v>
      </c>
      <c r="E236" s="74">
        <v>16.28</v>
      </c>
      <c r="F236" s="19">
        <v>1.72</v>
      </c>
      <c r="G236" s="58">
        <v>52.8</v>
      </c>
      <c r="H236" s="59">
        <v>6.69</v>
      </c>
      <c r="I236" s="59">
        <v>38.25</v>
      </c>
      <c r="J236" s="59">
        <v>0.45</v>
      </c>
      <c r="K236" s="60"/>
      <c r="L236" s="18"/>
      <c r="M236" s="19">
        <v>21.59</v>
      </c>
      <c r="N236" s="24" t="s">
        <v>791</v>
      </c>
      <c r="P236" s="6" t="s">
        <v>500</v>
      </c>
    </row>
    <row r="237" spans="1:16" x14ac:dyDescent="0.25">
      <c r="A237" s="99"/>
      <c r="B237" s="24" t="s">
        <v>713</v>
      </c>
      <c r="C237" s="18">
        <v>33.6</v>
      </c>
      <c r="D237" s="73">
        <v>53.7</v>
      </c>
      <c r="E237" s="74">
        <v>11.8</v>
      </c>
      <c r="F237" s="19">
        <v>0.9</v>
      </c>
      <c r="G237" s="58">
        <v>49.9</v>
      </c>
      <c r="H237" s="59">
        <v>6.7</v>
      </c>
      <c r="I237" s="59">
        <v>42.4</v>
      </c>
      <c r="J237" s="59">
        <v>0.9</v>
      </c>
      <c r="K237" s="60">
        <v>0.08</v>
      </c>
      <c r="L237" s="18"/>
      <c r="M237" s="19"/>
      <c r="N237" s="24" t="s">
        <v>579</v>
      </c>
    </row>
    <row r="238" spans="1:16" x14ac:dyDescent="0.25">
      <c r="A238" s="99"/>
      <c r="B238" s="24" t="s">
        <v>714</v>
      </c>
      <c r="C238" s="18"/>
      <c r="D238" s="73">
        <v>80.8</v>
      </c>
      <c r="E238" s="74">
        <v>17.8</v>
      </c>
      <c r="F238" s="19">
        <v>1.4</v>
      </c>
      <c r="G238" s="58">
        <v>49.9</v>
      </c>
      <c r="H238" s="59">
        <v>6.7</v>
      </c>
      <c r="I238" s="59">
        <v>42.4</v>
      </c>
      <c r="J238" s="59">
        <v>0.9</v>
      </c>
      <c r="K238" s="60">
        <v>0.08</v>
      </c>
      <c r="L238" s="18"/>
      <c r="M238" s="19"/>
      <c r="N238" s="24" t="s">
        <v>579</v>
      </c>
    </row>
    <row r="239" spans="1:16" x14ac:dyDescent="0.25">
      <c r="A239" s="99"/>
      <c r="B239" s="24" t="s">
        <v>811</v>
      </c>
      <c r="C239" s="18"/>
      <c r="D239" s="73">
        <v>73.5</v>
      </c>
      <c r="E239" s="74">
        <v>19.62</v>
      </c>
      <c r="F239" s="19">
        <v>6.88</v>
      </c>
      <c r="G239" s="58">
        <v>46.16</v>
      </c>
      <c r="H239" s="59">
        <v>5.78</v>
      </c>
      <c r="I239" s="59">
        <v>40.51</v>
      </c>
      <c r="J239" s="59">
        <v>0.39</v>
      </c>
      <c r="K239" s="60"/>
      <c r="L239" s="18"/>
      <c r="M239" s="19">
        <v>18.260000000000002</v>
      </c>
      <c r="N239" s="24" t="s">
        <v>791</v>
      </c>
      <c r="P239" s="6" t="s">
        <v>798</v>
      </c>
    </row>
    <row r="240" spans="1:16" x14ac:dyDescent="0.25">
      <c r="A240" s="99"/>
      <c r="B240" s="24" t="s">
        <v>179</v>
      </c>
      <c r="C240" s="21">
        <v>9.4</v>
      </c>
      <c r="D240" s="74">
        <v>71.900000000000006</v>
      </c>
      <c r="E240" s="74"/>
      <c r="F240" s="25">
        <v>2.2999999999999998</v>
      </c>
      <c r="G240" s="67">
        <v>40.799999999999997</v>
      </c>
      <c r="H240" s="75">
        <v>5.9</v>
      </c>
      <c r="I240" s="75">
        <v>45.7</v>
      </c>
      <c r="J240" s="75">
        <v>1.3</v>
      </c>
      <c r="K240" s="68">
        <v>0.19</v>
      </c>
      <c r="L240" s="21"/>
      <c r="M240" s="25">
        <f>17005/1000</f>
        <v>17.004999999999999</v>
      </c>
      <c r="N240" s="24" t="s">
        <v>134</v>
      </c>
    </row>
    <row r="241" spans="1:16" x14ac:dyDescent="0.25">
      <c r="A241" s="99"/>
      <c r="B241" s="24" t="s">
        <v>180</v>
      </c>
      <c r="C241" s="18">
        <v>6.1</v>
      </c>
      <c r="D241" s="73">
        <v>74.2</v>
      </c>
      <c r="E241" s="74"/>
      <c r="F241" s="19">
        <v>3</v>
      </c>
      <c r="G241" s="58">
        <v>43.4</v>
      </c>
      <c r="H241" s="59">
        <v>6.3</v>
      </c>
      <c r="I241" s="59">
        <v>48.7</v>
      </c>
      <c r="J241" s="59">
        <v>1.4</v>
      </c>
      <c r="K241" s="60">
        <v>0.2</v>
      </c>
      <c r="L241" s="18"/>
      <c r="M241" s="19">
        <f>16100/1000</f>
        <v>16.100000000000001</v>
      </c>
      <c r="N241" s="24" t="s">
        <v>134</v>
      </c>
    </row>
    <row r="242" spans="1:16" x14ac:dyDescent="0.25">
      <c r="A242" s="99"/>
      <c r="B242" s="24" t="s">
        <v>181</v>
      </c>
      <c r="C242" s="18"/>
      <c r="D242" s="73">
        <v>79</v>
      </c>
      <c r="E242" s="74"/>
      <c r="F242" s="19"/>
      <c r="G242" s="58">
        <v>45.7</v>
      </c>
      <c r="H242" s="59">
        <v>6.8</v>
      </c>
      <c r="I242" s="59">
        <v>46.7</v>
      </c>
      <c r="J242" s="59">
        <v>1</v>
      </c>
      <c r="K242" s="60"/>
      <c r="L242" s="18"/>
      <c r="M242" s="19">
        <f>18700/1000</f>
        <v>18.7</v>
      </c>
      <c r="N242" s="24" t="s">
        <v>134</v>
      </c>
    </row>
    <row r="243" spans="1:16" x14ac:dyDescent="0.25">
      <c r="A243" s="99"/>
      <c r="B243" s="24" t="s">
        <v>182</v>
      </c>
      <c r="C243" s="18">
        <v>12.5</v>
      </c>
      <c r="D243" s="73">
        <v>76</v>
      </c>
      <c r="E243" s="74"/>
      <c r="F243" s="19">
        <v>9</v>
      </c>
      <c r="G243" s="58">
        <v>38.9</v>
      </c>
      <c r="H243" s="59">
        <v>5.7</v>
      </c>
      <c r="I243" s="59">
        <v>47.5</v>
      </c>
      <c r="J243" s="59">
        <v>1.2</v>
      </c>
      <c r="K243" s="60">
        <v>0.51</v>
      </c>
      <c r="L243" s="18"/>
      <c r="M243" s="19">
        <f>15095/1000</f>
        <v>15.095000000000001</v>
      </c>
      <c r="N243" s="24" t="s">
        <v>134</v>
      </c>
    </row>
    <row r="244" spans="1:16" x14ac:dyDescent="0.25">
      <c r="A244" s="99"/>
      <c r="B244" s="24" t="s">
        <v>183</v>
      </c>
      <c r="C244" s="18">
        <v>9.5</v>
      </c>
      <c r="D244" s="73">
        <v>72.3</v>
      </c>
      <c r="E244" s="74"/>
      <c r="F244" s="19" t="s">
        <v>374</v>
      </c>
      <c r="G244" s="58">
        <v>41</v>
      </c>
      <c r="H244" s="59">
        <v>5</v>
      </c>
      <c r="I244" s="59">
        <v>40.200000000000003</v>
      </c>
      <c r="J244" s="59">
        <v>0.97</v>
      </c>
      <c r="K244" s="60">
        <v>0.24</v>
      </c>
      <c r="L244" s="18"/>
      <c r="M244" s="19">
        <f>15900/1000</f>
        <v>15.9</v>
      </c>
      <c r="N244" s="24" t="s">
        <v>134</v>
      </c>
    </row>
    <row r="245" spans="1:16" x14ac:dyDescent="0.25">
      <c r="A245" s="99"/>
      <c r="B245" s="24" t="s">
        <v>184</v>
      </c>
      <c r="C245" s="18"/>
      <c r="D245" s="73"/>
      <c r="E245" s="74"/>
      <c r="F245" s="19">
        <v>11.95</v>
      </c>
      <c r="G245" s="58">
        <v>46.77</v>
      </c>
      <c r="H245" s="59">
        <v>5.51</v>
      </c>
      <c r="I245" s="59">
        <v>33.15</v>
      </c>
      <c r="J245" s="59">
        <v>1.89</v>
      </c>
      <c r="K245" s="60">
        <v>0.21</v>
      </c>
      <c r="L245" s="18"/>
      <c r="M245" s="19">
        <f>19120/1000</f>
        <v>19.12</v>
      </c>
      <c r="N245" s="24" t="s">
        <v>134</v>
      </c>
    </row>
    <row r="246" spans="1:16" x14ac:dyDescent="0.25">
      <c r="A246" s="99"/>
      <c r="B246" s="24" t="s">
        <v>185</v>
      </c>
      <c r="C246" s="18"/>
      <c r="D246" s="73"/>
      <c r="E246" s="74"/>
      <c r="F246" s="19">
        <v>11.14</v>
      </c>
      <c r="G246" s="58">
        <v>42.74</v>
      </c>
      <c r="H246" s="59">
        <v>5.03</v>
      </c>
      <c r="I246" s="59">
        <v>39.21</v>
      </c>
      <c r="J246" s="59">
        <v>0.99</v>
      </c>
      <c r="K246" s="60">
        <v>0.11</v>
      </c>
      <c r="L246" s="18"/>
      <c r="M246" s="19">
        <f>16320/1000</f>
        <v>16.32</v>
      </c>
      <c r="N246" s="24" t="s">
        <v>134</v>
      </c>
    </row>
    <row r="247" spans="1:16" x14ac:dyDescent="0.25">
      <c r="A247" s="99"/>
      <c r="B247" s="24" t="s">
        <v>186</v>
      </c>
      <c r="C247" s="18"/>
      <c r="D247" s="73"/>
      <c r="E247" s="74"/>
      <c r="F247" s="19">
        <v>8.82</v>
      </c>
      <c r="G247" s="58">
        <v>45.51</v>
      </c>
      <c r="H247" s="59">
        <v>5.03</v>
      </c>
      <c r="I247" s="59">
        <v>39.619999999999997</v>
      </c>
      <c r="J247" s="59">
        <v>0.31</v>
      </c>
      <c r="K247" s="60">
        <v>0.03</v>
      </c>
      <c r="L247" s="18"/>
      <c r="M247" s="19">
        <f>17040/1000</f>
        <v>17.04</v>
      </c>
      <c r="N247" s="24" t="s">
        <v>134</v>
      </c>
    </row>
    <row r="248" spans="1:16" x14ac:dyDescent="0.25">
      <c r="A248" s="99"/>
      <c r="B248" s="24" t="s">
        <v>884</v>
      </c>
      <c r="C248" s="18"/>
      <c r="D248" s="73"/>
      <c r="E248" s="74"/>
      <c r="F248" s="19">
        <v>14.4</v>
      </c>
      <c r="G248" s="58">
        <v>43.62</v>
      </c>
      <c r="H248" s="59">
        <v>5.51</v>
      </c>
      <c r="I248" s="59">
        <v>37.5</v>
      </c>
      <c r="J248" s="59">
        <v>0.79</v>
      </c>
      <c r="K248" s="60"/>
      <c r="L248" s="18"/>
      <c r="M248" s="19">
        <v>16.7</v>
      </c>
      <c r="N248" s="24" t="s">
        <v>791</v>
      </c>
      <c r="P248" s="6" t="s">
        <v>511</v>
      </c>
    </row>
    <row r="249" spans="1:16" x14ac:dyDescent="0.25">
      <c r="A249" s="99"/>
      <c r="B249" s="24" t="s">
        <v>305</v>
      </c>
      <c r="C249" s="18">
        <v>6.78</v>
      </c>
      <c r="D249" s="73">
        <v>78.78</v>
      </c>
      <c r="E249" s="74"/>
      <c r="F249" s="19">
        <v>3.64</v>
      </c>
      <c r="G249" s="58">
        <v>52.03</v>
      </c>
      <c r="H249" s="59">
        <v>7.35</v>
      </c>
      <c r="I249" s="59"/>
      <c r="J249" s="59">
        <v>1.41</v>
      </c>
      <c r="K249" s="60">
        <v>1E-3</v>
      </c>
      <c r="L249" s="18"/>
      <c r="M249" s="19">
        <v>22.06</v>
      </c>
      <c r="N249" s="24" t="s">
        <v>308</v>
      </c>
      <c r="P249" s="6" t="s">
        <v>295</v>
      </c>
    </row>
    <row r="250" spans="1:16" x14ac:dyDescent="0.25">
      <c r="A250" s="99"/>
      <c r="B250" s="24" t="s">
        <v>306</v>
      </c>
      <c r="C250" s="18">
        <v>4.12</v>
      </c>
      <c r="D250" s="73">
        <v>80.83</v>
      </c>
      <c r="E250" s="74"/>
      <c r="F250" s="19">
        <v>8.51</v>
      </c>
      <c r="G250" s="58">
        <v>52.79</v>
      </c>
      <c r="H250" s="59">
        <v>7.09</v>
      </c>
      <c r="I250" s="59"/>
      <c r="J250" s="59">
        <v>4.67</v>
      </c>
      <c r="K250" s="60">
        <v>0.217</v>
      </c>
      <c r="L250" s="18"/>
      <c r="M250" s="19">
        <v>24.33</v>
      </c>
      <c r="N250" s="24" t="s">
        <v>308</v>
      </c>
      <c r="P250" s="6" t="s">
        <v>295</v>
      </c>
    </row>
    <row r="251" spans="1:16" x14ac:dyDescent="0.25">
      <c r="A251" s="99"/>
      <c r="B251" s="24" t="s">
        <v>307</v>
      </c>
      <c r="C251" s="18">
        <v>4.22</v>
      </c>
      <c r="D251" s="73">
        <v>78.680000000000007</v>
      </c>
      <c r="E251" s="74"/>
      <c r="F251" s="19">
        <v>4.58</v>
      </c>
      <c r="G251" s="58">
        <v>49.52</v>
      </c>
      <c r="H251" s="59">
        <v>6.74</v>
      </c>
      <c r="I251" s="59"/>
      <c r="J251" s="59">
        <v>2.41</v>
      </c>
      <c r="K251" s="60">
        <v>3.7999999999999999E-2</v>
      </c>
      <c r="L251" s="18"/>
      <c r="M251" s="19">
        <v>22.24</v>
      </c>
      <c r="N251" s="24" t="s">
        <v>308</v>
      </c>
      <c r="P251" s="6" t="s">
        <v>295</v>
      </c>
    </row>
    <row r="252" spans="1:16" x14ac:dyDescent="0.25">
      <c r="A252" s="99"/>
      <c r="B252" s="24" t="s">
        <v>564</v>
      </c>
      <c r="C252" s="18">
        <v>3</v>
      </c>
      <c r="D252" s="73">
        <v>68.7</v>
      </c>
      <c r="E252" s="74">
        <v>25</v>
      </c>
      <c r="F252" s="19">
        <v>3.3</v>
      </c>
      <c r="G252" s="58"/>
      <c r="H252" s="59"/>
      <c r="I252" s="59"/>
      <c r="J252" s="59"/>
      <c r="K252" s="60"/>
      <c r="L252" s="18"/>
      <c r="M252" s="19"/>
      <c r="N252" s="24" t="s">
        <v>570</v>
      </c>
    </row>
    <row r="253" spans="1:16" x14ac:dyDescent="0.25">
      <c r="A253" s="99"/>
      <c r="B253" s="24" t="s">
        <v>673</v>
      </c>
      <c r="C253" s="18">
        <v>6.5</v>
      </c>
      <c r="D253" s="73">
        <v>69</v>
      </c>
      <c r="E253" s="74">
        <v>18.8</v>
      </c>
      <c r="F253" s="19">
        <v>5.7</v>
      </c>
      <c r="G253" s="58">
        <v>50.6</v>
      </c>
      <c r="H253" s="59">
        <v>6.4</v>
      </c>
      <c r="I253" s="59">
        <v>41.7</v>
      </c>
      <c r="J253" s="59">
        <v>1.2</v>
      </c>
      <c r="K253" s="60">
        <v>7.0000000000000007E-2</v>
      </c>
      <c r="L253" s="18"/>
      <c r="M253" s="19"/>
      <c r="N253" s="24" t="s">
        <v>579</v>
      </c>
    </row>
    <row r="254" spans="1:16" x14ac:dyDescent="0.25">
      <c r="A254" s="99"/>
      <c r="B254" s="24" t="s">
        <v>675</v>
      </c>
      <c r="C254" s="18"/>
      <c r="D254" s="73">
        <v>73.8</v>
      </c>
      <c r="E254" s="74">
        <v>20.100000000000001</v>
      </c>
      <c r="F254" s="19">
        <v>6.1</v>
      </c>
      <c r="G254" s="58">
        <v>50.6</v>
      </c>
      <c r="H254" s="59">
        <v>6.4</v>
      </c>
      <c r="I254" s="59">
        <v>41.7</v>
      </c>
      <c r="J254" s="59">
        <v>1.2</v>
      </c>
      <c r="K254" s="60">
        <v>7.0000000000000007E-2</v>
      </c>
      <c r="L254" s="18"/>
      <c r="M254" s="19"/>
      <c r="N254" s="24" t="s">
        <v>579</v>
      </c>
    </row>
    <row r="255" spans="1:16" x14ac:dyDescent="0.25">
      <c r="A255" s="99"/>
      <c r="B255" s="24" t="s">
        <v>857</v>
      </c>
      <c r="C255" s="18"/>
      <c r="D255" s="73">
        <v>73.8</v>
      </c>
      <c r="E255" s="74">
        <v>20.07</v>
      </c>
      <c r="F255" s="19">
        <v>6.13</v>
      </c>
      <c r="G255" s="58">
        <v>47.53</v>
      </c>
      <c r="H255" s="59">
        <v>5.97</v>
      </c>
      <c r="I255" s="59">
        <v>39.159999999999997</v>
      </c>
      <c r="J255" s="59">
        <v>1.1299999999999999</v>
      </c>
      <c r="K255" s="60"/>
      <c r="L255" s="18"/>
      <c r="M255" s="19">
        <v>18.89</v>
      </c>
      <c r="N255" s="24" t="s">
        <v>791</v>
      </c>
      <c r="P255" s="6" t="s">
        <v>500</v>
      </c>
    </row>
    <row r="256" spans="1:16" x14ac:dyDescent="0.25">
      <c r="A256" s="99"/>
      <c r="B256" s="24" t="s">
        <v>858</v>
      </c>
      <c r="C256" s="18"/>
      <c r="D256" s="73">
        <v>71.33</v>
      </c>
      <c r="E256" s="74">
        <v>22.89</v>
      </c>
      <c r="F256" s="19">
        <v>5.78</v>
      </c>
      <c r="G256" s="58">
        <v>45.79</v>
      </c>
      <c r="H256" s="59">
        <v>5.36</v>
      </c>
      <c r="I256" s="59">
        <v>40.6</v>
      </c>
      <c r="J256" s="59">
        <v>0.96</v>
      </c>
      <c r="K256" s="60"/>
      <c r="L256" s="18"/>
      <c r="M256" s="19">
        <v>18.22</v>
      </c>
      <c r="N256" s="24" t="s">
        <v>791</v>
      </c>
      <c r="P256" s="6" t="s">
        <v>500</v>
      </c>
    </row>
    <row r="257" spans="1:16" x14ac:dyDescent="0.25">
      <c r="A257" s="99"/>
      <c r="B257" s="24" t="s">
        <v>695</v>
      </c>
      <c r="C257" s="18">
        <v>7.9</v>
      </c>
      <c r="D257" s="73">
        <v>68.099999999999994</v>
      </c>
      <c r="E257" s="74">
        <v>20.9</v>
      </c>
      <c r="F257" s="19">
        <v>3.1</v>
      </c>
      <c r="G257" s="58">
        <v>50.9</v>
      </c>
      <c r="H257" s="59">
        <v>7.5</v>
      </c>
      <c r="I257" s="59">
        <v>40.4</v>
      </c>
      <c r="J257" s="59">
        <v>1.2</v>
      </c>
      <c r="K257" s="60">
        <v>0.02</v>
      </c>
      <c r="L257" s="18"/>
      <c r="M257" s="19"/>
      <c r="N257" s="24" t="s">
        <v>579</v>
      </c>
    </row>
    <row r="258" spans="1:16" x14ac:dyDescent="0.25">
      <c r="A258" s="99"/>
      <c r="B258" s="24" t="s">
        <v>696</v>
      </c>
      <c r="C258" s="18"/>
      <c r="D258" s="73">
        <v>73.900000000000006</v>
      </c>
      <c r="E258" s="74">
        <v>22.7</v>
      </c>
      <c r="F258" s="19">
        <v>3.4</v>
      </c>
      <c r="G258" s="58">
        <v>50.9</v>
      </c>
      <c r="H258" s="59">
        <v>7.5</v>
      </c>
      <c r="I258" s="59">
        <v>40.4</v>
      </c>
      <c r="J258" s="59">
        <v>1.2</v>
      </c>
      <c r="K258" s="60">
        <v>0.02</v>
      </c>
      <c r="L258" s="18"/>
      <c r="M258" s="19"/>
      <c r="N258" s="24" t="s">
        <v>579</v>
      </c>
    </row>
    <row r="259" spans="1:16" x14ac:dyDescent="0.25">
      <c r="A259" s="99"/>
      <c r="B259" s="24" t="s">
        <v>871</v>
      </c>
      <c r="C259" s="18"/>
      <c r="D259" s="73">
        <v>78.05</v>
      </c>
      <c r="E259" s="74">
        <v>16.05</v>
      </c>
      <c r="F259" s="19">
        <v>5.9</v>
      </c>
      <c r="G259" s="58">
        <v>48.3</v>
      </c>
      <c r="H259" s="59">
        <v>5.7</v>
      </c>
      <c r="I259" s="59">
        <v>39.4</v>
      </c>
      <c r="J259" s="59">
        <v>0.8</v>
      </c>
      <c r="K259" s="60"/>
      <c r="L259" s="18"/>
      <c r="M259" s="19">
        <v>18.649999999999999</v>
      </c>
      <c r="N259" s="24" t="s">
        <v>791</v>
      </c>
      <c r="P259" s="6" t="s">
        <v>486</v>
      </c>
    </row>
    <row r="260" spans="1:16" x14ac:dyDescent="0.25">
      <c r="A260" s="99"/>
      <c r="B260" s="24" t="s">
        <v>838</v>
      </c>
      <c r="C260" s="18"/>
      <c r="D260" s="73">
        <v>63.52</v>
      </c>
      <c r="E260" s="74">
        <v>16.22</v>
      </c>
      <c r="F260" s="19">
        <v>20.260000000000002</v>
      </c>
      <c r="G260" s="58">
        <v>38.83</v>
      </c>
      <c r="H260" s="59">
        <v>4.75</v>
      </c>
      <c r="I260" s="59">
        <v>35.47</v>
      </c>
      <c r="J260" s="59">
        <v>0.52</v>
      </c>
      <c r="K260" s="60"/>
      <c r="L260" s="18"/>
      <c r="M260" s="19">
        <v>15.84</v>
      </c>
      <c r="N260" s="24" t="s">
        <v>791</v>
      </c>
      <c r="P260" s="6" t="s">
        <v>500</v>
      </c>
    </row>
    <row r="261" spans="1:16" x14ac:dyDescent="0.25">
      <c r="A261" s="99"/>
      <c r="B261" s="24" t="s">
        <v>839</v>
      </c>
      <c r="C261" s="18"/>
      <c r="D261" s="73">
        <v>65.47</v>
      </c>
      <c r="E261" s="74">
        <v>16.670000000000002</v>
      </c>
      <c r="F261" s="19">
        <v>17.86</v>
      </c>
      <c r="G261" s="58">
        <v>40.96</v>
      </c>
      <c r="H261" s="59">
        <v>4.3</v>
      </c>
      <c r="I261" s="59">
        <v>35.86</v>
      </c>
      <c r="J261" s="59">
        <v>0.4</v>
      </c>
      <c r="K261" s="60"/>
      <c r="L261" s="18"/>
      <c r="M261" s="19">
        <v>16.14</v>
      </c>
      <c r="N261" s="24" t="s">
        <v>791</v>
      </c>
      <c r="P261" s="6" t="s">
        <v>500</v>
      </c>
    </row>
    <row r="262" spans="1:16" x14ac:dyDescent="0.25">
      <c r="A262" s="99"/>
      <c r="B262" s="24" t="s">
        <v>803</v>
      </c>
      <c r="C262" s="18"/>
      <c r="D262" s="73">
        <v>75.2</v>
      </c>
      <c r="E262" s="74"/>
      <c r="F262" s="19">
        <v>5.6</v>
      </c>
      <c r="G262" s="58">
        <v>46.6</v>
      </c>
      <c r="H262" s="59">
        <v>4.99</v>
      </c>
      <c r="I262" s="59">
        <v>40.049999999999997</v>
      </c>
      <c r="J262" s="59">
        <v>0.79</v>
      </c>
      <c r="K262" s="60"/>
      <c r="L262" s="18"/>
      <c r="M262" s="19">
        <v>18.3</v>
      </c>
      <c r="N262" s="24" t="s">
        <v>570</v>
      </c>
    </row>
    <row r="263" spans="1:16" x14ac:dyDescent="0.25">
      <c r="A263" s="99"/>
      <c r="B263" s="24" t="s">
        <v>804</v>
      </c>
      <c r="C263" s="18"/>
      <c r="D263" s="73"/>
      <c r="E263" s="74"/>
      <c r="F263" s="19">
        <v>4.3</v>
      </c>
      <c r="G263" s="58">
        <v>46.2</v>
      </c>
      <c r="H263" s="59">
        <v>5.9</v>
      </c>
      <c r="I263" s="59">
        <v>43.2</v>
      </c>
      <c r="J263" s="59">
        <v>0.5</v>
      </c>
      <c r="K263" s="60"/>
      <c r="L263" s="18"/>
      <c r="M263" s="19">
        <v>17.8</v>
      </c>
      <c r="N263" s="24" t="s">
        <v>791</v>
      </c>
      <c r="P263" s="6" t="s">
        <v>807</v>
      </c>
    </row>
    <row r="264" spans="1:16" x14ac:dyDescent="0.25">
      <c r="A264" s="99"/>
      <c r="B264" s="24" t="s">
        <v>805</v>
      </c>
      <c r="C264" s="18"/>
      <c r="D264" s="73">
        <v>78.7</v>
      </c>
      <c r="E264" s="74">
        <v>17.600000000000001</v>
      </c>
      <c r="F264" s="19">
        <v>3.7</v>
      </c>
      <c r="G264" s="58"/>
      <c r="H264" s="59"/>
      <c r="I264" s="59"/>
      <c r="J264" s="59"/>
      <c r="K264" s="60"/>
      <c r="L264" s="18"/>
      <c r="M264" s="19">
        <v>17.8</v>
      </c>
      <c r="N264" s="24" t="s">
        <v>791</v>
      </c>
      <c r="P264" s="6" t="s">
        <v>473</v>
      </c>
    </row>
    <row r="265" spans="1:16" x14ac:dyDescent="0.25">
      <c r="A265" s="99"/>
      <c r="B265" s="24" t="s">
        <v>865</v>
      </c>
      <c r="C265" s="18"/>
      <c r="D265" s="73">
        <v>76.319999999999993</v>
      </c>
      <c r="E265" s="74">
        <v>11.63</v>
      </c>
      <c r="F265" s="19">
        <v>12.05</v>
      </c>
      <c r="G265" s="58">
        <v>43.87</v>
      </c>
      <c r="H265" s="59">
        <v>5.82</v>
      </c>
      <c r="I265" s="59">
        <v>35.46</v>
      </c>
      <c r="J265" s="59">
        <v>2.23</v>
      </c>
      <c r="K265" s="60"/>
      <c r="L265" s="18"/>
      <c r="M265" s="19">
        <v>17.93</v>
      </c>
      <c r="N265" s="24" t="s">
        <v>791</v>
      </c>
      <c r="P265" s="6" t="s">
        <v>799</v>
      </c>
    </row>
    <row r="266" spans="1:16" x14ac:dyDescent="0.25">
      <c r="A266" s="99"/>
      <c r="B266" s="24" t="s">
        <v>866</v>
      </c>
      <c r="C266" s="18"/>
      <c r="D266" s="73">
        <v>82.05</v>
      </c>
      <c r="E266" s="74">
        <v>17.05</v>
      </c>
      <c r="F266" s="19">
        <v>0.9</v>
      </c>
      <c r="G266" s="58">
        <v>47.6</v>
      </c>
      <c r="H266" s="59">
        <v>5.7</v>
      </c>
      <c r="I266" s="59">
        <v>45.6</v>
      </c>
      <c r="J266" s="59">
        <v>0.2</v>
      </c>
      <c r="K266" s="60"/>
      <c r="L266" s="18"/>
      <c r="M266" s="19">
        <v>14.67</v>
      </c>
      <c r="N266" s="24" t="s">
        <v>791</v>
      </c>
      <c r="P266" s="6" t="s">
        <v>486</v>
      </c>
    </row>
    <row r="267" spans="1:16" x14ac:dyDescent="0.25">
      <c r="A267" s="99"/>
      <c r="B267" s="24" t="s">
        <v>867</v>
      </c>
      <c r="C267" s="18"/>
      <c r="D267" s="73">
        <v>80.69</v>
      </c>
      <c r="E267" s="74">
        <v>10.26</v>
      </c>
      <c r="F267" s="19">
        <v>9.0500000000000007</v>
      </c>
      <c r="G267" s="58">
        <v>43.79</v>
      </c>
      <c r="H267" s="59">
        <v>5.14</v>
      </c>
      <c r="I267" s="59">
        <v>41.73</v>
      </c>
      <c r="J267" s="59">
        <v>0.83</v>
      </c>
      <c r="K267" s="60"/>
      <c r="L267" s="18"/>
      <c r="M267" s="19">
        <v>19.23</v>
      </c>
      <c r="N267" s="24" t="s">
        <v>791</v>
      </c>
      <c r="P267" s="6" t="s">
        <v>868</v>
      </c>
    </row>
    <row r="268" spans="1:16" ht="14.25" customHeight="1" x14ac:dyDescent="0.25">
      <c r="A268" s="99"/>
      <c r="B268" s="24" t="s">
        <v>861</v>
      </c>
      <c r="C268" s="18">
        <v>10.1</v>
      </c>
      <c r="D268" s="73">
        <v>75.5</v>
      </c>
      <c r="E268" s="74">
        <v>11.2</v>
      </c>
      <c r="F268" s="19">
        <v>3.2</v>
      </c>
      <c r="G268" s="58">
        <v>64.23</v>
      </c>
      <c r="H268" s="59">
        <v>6.89</v>
      </c>
      <c r="I268" s="59">
        <v>27.61</v>
      </c>
      <c r="J268" s="59">
        <v>0.77</v>
      </c>
      <c r="K268" s="60"/>
      <c r="L268" s="18"/>
      <c r="M268" s="19">
        <v>18.3</v>
      </c>
      <c r="N268" s="24" t="s">
        <v>570</v>
      </c>
    </row>
    <row r="269" spans="1:16" x14ac:dyDescent="0.25">
      <c r="A269" s="99"/>
      <c r="B269" s="24" t="s">
        <v>862</v>
      </c>
      <c r="C269" s="18"/>
      <c r="D269" s="73">
        <v>79.64</v>
      </c>
      <c r="E269" s="74">
        <v>19.66</v>
      </c>
      <c r="F269" s="19">
        <v>0.7</v>
      </c>
      <c r="G269" s="58">
        <v>50.2</v>
      </c>
      <c r="H269" s="59">
        <v>5.7</v>
      </c>
      <c r="I269" s="59">
        <v>43.4</v>
      </c>
      <c r="J269" s="59"/>
      <c r="K269" s="60"/>
      <c r="L269" s="18"/>
      <c r="M269" s="19">
        <v>20.5</v>
      </c>
      <c r="N269" s="24" t="s">
        <v>791</v>
      </c>
      <c r="P269" s="6" t="s">
        <v>486</v>
      </c>
    </row>
    <row r="270" spans="1:16" x14ac:dyDescent="0.25">
      <c r="A270" s="99"/>
      <c r="B270" s="24" t="s">
        <v>863</v>
      </c>
      <c r="C270" s="18"/>
      <c r="D270" s="73">
        <v>74.900000000000006</v>
      </c>
      <c r="E270" s="74">
        <v>24.4</v>
      </c>
      <c r="F270" s="19">
        <v>0.7</v>
      </c>
      <c r="G270" s="58">
        <v>53.9</v>
      </c>
      <c r="H270" s="59">
        <v>5.7</v>
      </c>
      <c r="I270" s="59">
        <v>39.44</v>
      </c>
      <c r="J270" s="59">
        <v>0.1</v>
      </c>
      <c r="K270" s="60"/>
      <c r="L270" s="18"/>
      <c r="M270" s="19">
        <v>20.52</v>
      </c>
      <c r="N270" s="24" t="s">
        <v>791</v>
      </c>
      <c r="P270" s="6" t="s">
        <v>869</v>
      </c>
    </row>
    <row r="271" spans="1:16" x14ac:dyDescent="0.25">
      <c r="A271" s="99"/>
      <c r="B271" s="24" t="s">
        <v>864</v>
      </c>
      <c r="C271" s="18"/>
      <c r="D271" s="73">
        <v>85.36</v>
      </c>
      <c r="E271" s="74">
        <v>11.26</v>
      </c>
      <c r="F271" s="19">
        <v>3.38</v>
      </c>
      <c r="G271" s="58">
        <v>63.5</v>
      </c>
      <c r="H271" s="59">
        <v>6.7</v>
      </c>
      <c r="I271" s="59">
        <v>24.9</v>
      </c>
      <c r="J271" s="59">
        <v>0.4</v>
      </c>
      <c r="K271" s="60"/>
      <c r="L271" s="18"/>
      <c r="M271" s="19"/>
      <c r="N271" s="24" t="s">
        <v>791</v>
      </c>
      <c r="P271" s="6" t="s">
        <v>836</v>
      </c>
    </row>
    <row r="272" spans="1:16" x14ac:dyDescent="0.25">
      <c r="A272" s="99"/>
      <c r="B272" s="24" t="s">
        <v>677</v>
      </c>
      <c r="C272" s="18">
        <v>4.4000000000000004</v>
      </c>
      <c r="D272" s="73">
        <v>70.5</v>
      </c>
      <c r="E272" s="74">
        <v>22</v>
      </c>
      <c r="F272" s="19">
        <v>3.1</v>
      </c>
      <c r="G272" s="58">
        <v>51.1</v>
      </c>
      <c r="H272" s="59">
        <v>5.6</v>
      </c>
      <c r="I272" s="59">
        <v>43.1</v>
      </c>
      <c r="J272" s="59">
        <v>0.1</v>
      </c>
      <c r="K272" s="60">
        <v>0.1</v>
      </c>
      <c r="L272" s="18"/>
      <c r="M272" s="19"/>
      <c r="N272" s="24" t="s">
        <v>579</v>
      </c>
    </row>
    <row r="273" spans="1:16" x14ac:dyDescent="0.25">
      <c r="A273" s="99"/>
      <c r="B273" s="24" t="s">
        <v>678</v>
      </c>
      <c r="C273" s="18"/>
      <c r="D273" s="73">
        <v>73.8</v>
      </c>
      <c r="E273" s="74">
        <v>23</v>
      </c>
      <c r="F273" s="19">
        <v>3.2</v>
      </c>
      <c r="G273" s="58">
        <v>51.1</v>
      </c>
      <c r="H273" s="59">
        <v>5.6</v>
      </c>
      <c r="I273" s="59">
        <v>43.1</v>
      </c>
      <c r="J273" s="59">
        <v>0.1</v>
      </c>
      <c r="K273" s="60">
        <v>0.1</v>
      </c>
      <c r="L273" s="18"/>
      <c r="M273" s="19"/>
      <c r="N273" s="24" t="s">
        <v>579</v>
      </c>
    </row>
    <row r="274" spans="1:16" x14ac:dyDescent="0.25">
      <c r="A274" s="99"/>
      <c r="B274" s="24" t="s">
        <v>194</v>
      </c>
      <c r="C274" s="18">
        <v>3.3</v>
      </c>
      <c r="D274" s="73">
        <v>80.3</v>
      </c>
      <c r="E274" s="74"/>
      <c r="F274" s="19">
        <v>0.6</v>
      </c>
      <c r="G274" s="58">
        <v>50.5</v>
      </c>
      <c r="H274" s="59">
        <v>6.6</v>
      </c>
      <c r="I274" s="59">
        <f t="shared" ref="I274" si="0">100-G274-H274-K274-J274</f>
        <v>42.683999999999997</v>
      </c>
      <c r="J274" s="59">
        <v>0.21</v>
      </c>
      <c r="K274" s="60">
        <v>6.0000000000000001E-3</v>
      </c>
      <c r="L274" s="18"/>
      <c r="M274" s="19">
        <f>18200/1000</f>
        <v>18.2</v>
      </c>
      <c r="N274" s="24" t="s">
        <v>134</v>
      </c>
    </row>
    <row r="275" spans="1:16" x14ac:dyDescent="0.25">
      <c r="A275" s="99"/>
      <c r="B275" s="24" t="s">
        <v>674</v>
      </c>
      <c r="C275" s="18">
        <v>7.2</v>
      </c>
      <c r="D275" s="73">
        <v>69.5</v>
      </c>
      <c r="E275" s="74">
        <v>20.2</v>
      </c>
      <c r="F275" s="19">
        <v>3.1</v>
      </c>
      <c r="G275" s="58">
        <v>50.3</v>
      </c>
      <c r="H275" s="59">
        <v>6.2</v>
      </c>
      <c r="I275" s="59">
        <v>42.5</v>
      </c>
      <c r="J275" s="59">
        <v>1</v>
      </c>
      <c r="K275" s="60">
        <v>0.05</v>
      </c>
      <c r="L275" s="18"/>
      <c r="M275" s="19"/>
      <c r="N275" s="24" t="s">
        <v>579</v>
      </c>
    </row>
    <row r="276" spans="1:16" x14ac:dyDescent="0.25">
      <c r="A276" s="99"/>
      <c r="B276" s="24" t="s">
        <v>676</v>
      </c>
      <c r="C276" s="18"/>
      <c r="D276" s="73">
        <v>74.900000000000006</v>
      </c>
      <c r="E276" s="74">
        <v>21.8</v>
      </c>
      <c r="F276" s="19">
        <v>3.3</v>
      </c>
      <c r="G276" s="58">
        <v>50.3</v>
      </c>
      <c r="H276" s="59">
        <v>6.2</v>
      </c>
      <c r="I276" s="59">
        <v>42.5</v>
      </c>
      <c r="J276" s="59">
        <v>1</v>
      </c>
      <c r="K276" s="60">
        <v>0.05</v>
      </c>
      <c r="L276" s="18"/>
      <c r="M276" s="19"/>
      <c r="N276" s="24" t="s">
        <v>579</v>
      </c>
    </row>
    <row r="277" spans="1:16" x14ac:dyDescent="0.25">
      <c r="A277" s="99"/>
      <c r="B277" s="24" t="s">
        <v>859</v>
      </c>
      <c r="C277" s="18"/>
      <c r="D277" s="73">
        <v>76</v>
      </c>
      <c r="E277" s="74">
        <v>20.71</v>
      </c>
      <c r="F277" s="19">
        <v>3.29</v>
      </c>
      <c r="G277" s="58">
        <v>49.3</v>
      </c>
      <c r="H277" s="59">
        <v>5.97</v>
      </c>
      <c r="I277" s="59">
        <v>40.630000000000003</v>
      </c>
      <c r="J277" s="59">
        <v>0.76</v>
      </c>
      <c r="K277" s="60"/>
      <c r="L277" s="18"/>
      <c r="M277" s="19">
        <v>19.489999999999998</v>
      </c>
      <c r="N277" s="24" t="s">
        <v>791</v>
      </c>
      <c r="P277" s="6" t="s">
        <v>500</v>
      </c>
    </row>
    <row r="278" spans="1:16" x14ac:dyDescent="0.25">
      <c r="A278" s="99"/>
      <c r="B278" s="24" t="s">
        <v>860</v>
      </c>
      <c r="C278" s="18"/>
      <c r="D278" s="73">
        <v>73.45</v>
      </c>
      <c r="E278" s="74">
        <v>21.74</v>
      </c>
      <c r="F278" s="19">
        <v>4.8099999999999996</v>
      </c>
      <c r="G278" s="58">
        <v>44.98</v>
      </c>
      <c r="H278" s="59">
        <v>5.97</v>
      </c>
      <c r="I278" s="59">
        <v>42.27</v>
      </c>
      <c r="J278" s="59">
        <v>1.1599999999999999</v>
      </c>
      <c r="K278" s="60"/>
      <c r="L278" s="18"/>
      <c r="M278" s="19">
        <v>19.38</v>
      </c>
      <c r="N278" s="24" t="s">
        <v>791</v>
      </c>
      <c r="P278" s="6" t="s">
        <v>500</v>
      </c>
    </row>
    <row r="279" spans="1:16" x14ac:dyDescent="0.25">
      <c r="A279" s="99"/>
      <c r="B279" s="24" t="s">
        <v>711</v>
      </c>
      <c r="C279" s="18">
        <v>7.5</v>
      </c>
      <c r="D279" s="73">
        <v>75.5</v>
      </c>
      <c r="E279" s="74">
        <v>15.7</v>
      </c>
      <c r="F279" s="19">
        <v>1.3</v>
      </c>
      <c r="G279" s="58">
        <v>50.9</v>
      </c>
      <c r="H279" s="59">
        <v>6.4</v>
      </c>
      <c r="I279" s="59">
        <v>41.8</v>
      </c>
      <c r="J279" s="59">
        <v>0.7</v>
      </c>
      <c r="K279" s="60">
        <v>0.22</v>
      </c>
      <c r="L279" s="18"/>
      <c r="M279" s="19"/>
      <c r="N279" s="24" t="s">
        <v>579</v>
      </c>
    </row>
    <row r="280" spans="1:16" x14ac:dyDescent="0.25">
      <c r="A280" s="99"/>
      <c r="B280" s="24" t="s">
        <v>712</v>
      </c>
      <c r="C280" s="18"/>
      <c r="D280" s="73">
        <v>81.599999999999994</v>
      </c>
      <c r="E280" s="74">
        <v>17</v>
      </c>
      <c r="F280" s="19">
        <v>1.4</v>
      </c>
      <c r="G280" s="58">
        <v>50.9</v>
      </c>
      <c r="H280" s="59">
        <v>6.4</v>
      </c>
      <c r="I280" s="59">
        <v>41.8</v>
      </c>
      <c r="J280" s="59">
        <v>0.7</v>
      </c>
      <c r="K280" s="60">
        <v>0.22</v>
      </c>
      <c r="L280" s="18"/>
      <c r="M280" s="19"/>
      <c r="N280" s="24" t="s">
        <v>579</v>
      </c>
    </row>
    <row r="281" spans="1:16" x14ac:dyDescent="0.25">
      <c r="A281" s="99"/>
      <c r="B281" s="24" t="s">
        <v>697</v>
      </c>
      <c r="C281" s="18">
        <v>7.2</v>
      </c>
      <c r="D281" s="73">
        <v>71.5</v>
      </c>
      <c r="E281" s="74">
        <v>19.899999999999999</v>
      </c>
      <c r="F281" s="19">
        <v>1.4</v>
      </c>
      <c r="G281" s="58">
        <v>51.5</v>
      </c>
      <c r="H281" s="59">
        <v>41.6</v>
      </c>
      <c r="I281" s="59">
        <v>5.5</v>
      </c>
      <c r="J281" s="59">
        <v>1.4</v>
      </c>
      <c r="K281" s="60">
        <v>0.04</v>
      </c>
      <c r="L281" s="18"/>
      <c r="M281" s="19"/>
      <c r="N281" s="24" t="s">
        <v>579</v>
      </c>
    </row>
    <row r="282" spans="1:16" x14ac:dyDescent="0.25">
      <c r="A282" s="99"/>
      <c r="B282" s="24" t="s">
        <v>698</v>
      </c>
      <c r="C282" s="18"/>
      <c r="D282" s="73">
        <v>77.099999999999994</v>
      </c>
      <c r="E282" s="74">
        <v>21.4</v>
      </c>
      <c r="F282" s="19">
        <v>1.5</v>
      </c>
      <c r="G282" s="58">
        <v>51.5</v>
      </c>
      <c r="H282" s="59">
        <v>41.6</v>
      </c>
      <c r="I282" s="59">
        <v>5.5</v>
      </c>
      <c r="J282" s="59">
        <v>1.4</v>
      </c>
      <c r="K282" s="60">
        <v>0.04</v>
      </c>
      <c r="L282" s="18"/>
      <c r="M282" s="19"/>
      <c r="N282" s="24" t="s">
        <v>579</v>
      </c>
    </row>
    <row r="283" spans="1:16" x14ac:dyDescent="0.25">
      <c r="A283" s="99"/>
      <c r="B283" s="24" t="s">
        <v>872</v>
      </c>
      <c r="C283" s="18"/>
      <c r="D283" s="73">
        <v>71.2</v>
      </c>
      <c r="E283" s="74">
        <v>27</v>
      </c>
      <c r="F283" s="19">
        <v>1.8</v>
      </c>
      <c r="G283" s="58">
        <v>50.1</v>
      </c>
      <c r="H283" s="59">
        <v>5.3</v>
      </c>
      <c r="I283" s="59">
        <v>41.55</v>
      </c>
      <c r="J283" s="59">
        <v>1.28</v>
      </c>
      <c r="K283" s="60"/>
      <c r="L283" s="18"/>
      <c r="M283" s="19">
        <v>19.3</v>
      </c>
      <c r="N283" s="24" t="s">
        <v>791</v>
      </c>
      <c r="P283" s="6" t="s">
        <v>473</v>
      </c>
    </row>
    <row r="284" spans="1:16" x14ac:dyDescent="0.25">
      <c r="A284" s="99"/>
      <c r="B284" s="24" t="s">
        <v>873</v>
      </c>
      <c r="C284" s="18"/>
      <c r="D284" s="73">
        <v>69.3</v>
      </c>
      <c r="E284" s="74">
        <v>28.3</v>
      </c>
      <c r="F284" s="19">
        <v>1.4</v>
      </c>
      <c r="G284" s="58">
        <v>52.17</v>
      </c>
      <c r="H284" s="59">
        <v>5.52</v>
      </c>
      <c r="I284" s="59">
        <v>42.11</v>
      </c>
      <c r="J284" s="59">
        <v>1.38</v>
      </c>
      <c r="K284" s="60"/>
      <c r="L284" s="18"/>
      <c r="M284" s="19">
        <v>19.3</v>
      </c>
      <c r="N284" s="24" t="s">
        <v>791</v>
      </c>
      <c r="P284" s="6" t="s">
        <v>473</v>
      </c>
    </row>
    <row r="285" spans="1:16" x14ac:dyDescent="0.25">
      <c r="A285" s="99"/>
      <c r="B285" s="24" t="s">
        <v>874</v>
      </c>
      <c r="C285" s="18"/>
      <c r="D285" s="73">
        <v>80.650000000000006</v>
      </c>
      <c r="E285" s="74">
        <v>17.420000000000002</v>
      </c>
      <c r="F285" s="19">
        <v>0.75</v>
      </c>
      <c r="G285" s="58">
        <v>50.9</v>
      </c>
      <c r="H285" s="59">
        <v>5</v>
      </c>
      <c r="I285" s="59">
        <v>42.9</v>
      </c>
      <c r="J285" s="59">
        <v>0.5</v>
      </c>
      <c r="K285" s="60"/>
      <c r="L285" s="18"/>
      <c r="M285" s="19">
        <v>15.49</v>
      </c>
      <c r="N285" s="24" t="s">
        <v>791</v>
      </c>
      <c r="P285" s="6" t="s">
        <v>473</v>
      </c>
    </row>
    <row r="286" spans="1:16" x14ac:dyDescent="0.25">
      <c r="A286" s="99"/>
      <c r="B286" s="24" t="s">
        <v>875</v>
      </c>
      <c r="C286" s="18"/>
      <c r="D286" s="73">
        <v>75.92</v>
      </c>
      <c r="E286" s="74">
        <v>23.68</v>
      </c>
      <c r="F286" s="19">
        <v>0.4</v>
      </c>
      <c r="G286" s="58">
        <v>54.41</v>
      </c>
      <c r="H286" s="59">
        <v>4.99</v>
      </c>
      <c r="I286" s="59">
        <v>39.69</v>
      </c>
      <c r="J286" s="59">
        <v>0.36</v>
      </c>
      <c r="K286" s="60"/>
      <c r="L286" s="18"/>
      <c r="M286" s="19">
        <v>21.01</v>
      </c>
      <c r="N286" s="24" t="s">
        <v>791</v>
      </c>
      <c r="P286" s="6" t="s">
        <v>500</v>
      </c>
    </row>
    <row r="287" spans="1:16" x14ac:dyDescent="0.25">
      <c r="A287" s="99"/>
      <c r="B287" s="24" t="s">
        <v>876</v>
      </c>
      <c r="C287" s="18"/>
      <c r="D287" s="73">
        <v>80.3</v>
      </c>
      <c r="E287" s="74">
        <v>14.9</v>
      </c>
      <c r="F287" s="19">
        <v>4.8</v>
      </c>
      <c r="G287" s="58">
        <v>48.04</v>
      </c>
      <c r="H287" s="59">
        <v>5.76</v>
      </c>
      <c r="I287" s="59">
        <v>39.17</v>
      </c>
      <c r="J287" s="59">
        <v>2.13</v>
      </c>
      <c r="K287" s="60"/>
      <c r="L287" s="18"/>
      <c r="M287" s="19">
        <v>20.47</v>
      </c>
      <c r="N287" s="24" t="s">
        <v>791</v>
      </c>
      <c r="P287" s="6" t="s">
        <v>835</v>
      </c>
    </row>
    <row r="288" spans="1:16" x14ac:dyDescent="0.25">
      <c r="A288" s="99"/>
      <c r="B288" s="24" t="s">
        <v>877</v>
      </c>
      <c r="C288" s="18"/>
      <c r="D288" s="73">
        <v>73.02</v>
      </c>
      <c r="E288" s="74">
        <v>21.09</v>
      </c>
      <c r="F288" s="19">
        <v>5.89</v>
      </c>
      <c r="G288" s="58">
        <v>45.77</v>
      </c>
      <c r="H288" s="59">
        <v>5.46</v>
      </c>
      <c r="I288" s="59">
        <v>39.56</v>
      </c>
      <c r="J288" s="59">
        <v>1.63</v>
      </c>
      <c r="K288" s="60"/>
      <c r="L288" s="18"/>
      <c r="M288" s="19">
        <v>18.64</v>
      </c>
      <c r="N288" s="24" t="s">
        <v>791</v>
      </c>
      <c r="P288" s="6" t="s">
        <v>500</v>
      </c>
    </row>
    <row r="289" spans="1:16" x14ac:dyDescent="0.25">
      <c r="A289" s="99"/>
      <c r="B289" s="24" t="s">
        <v>879</v>
      </c>
      <c r="C289" s="18"/>
      <c r="D289" s="73">
        <v>71.569999999999993</v>
      </c>
      <c r="E289" s="74">
        <v>20.28</v>
      </c>
      <c r="F289" s="19">
        <v>8.15</v>
      </c>
      <c r="G289" s="58">
        <v>47.6</v>
      </c>
      <c r="H289" s="59">
        <v>5.35</v>
      </c>
      <c r="I289" s="59">
        <v>37.06</v>
      </c>
      <c r="J289" s="59">
        <v>1.65</v>
      </c>
      <c r="K289" s="60"/>
      <c r="L289" s="18"/>
      <c r="M289" s="19">
        <v>17.850000000000001</v>
      </c>
      <c r="N289" s="24" t="s">
        <v>791</v>
      </c>
      <c r="P289" s="6" t="s">
        <v>798</v>
      </c>
    </row>
    <row r="290" spans="1:16" x14ac:dyDescent="0.25">
      <c r="A290" s="99"/>
      <c r="B290" s="24" t="s">
        <v>878</v>
      </c>
      <c r="C290" s="18"/>
      <c r="D290" s="73">
        <v>73.86</v>
      </c>
      <c r="E290" s="74">
        <v>23.81</v>
      </c>
      <c r="F290" s="19">
        <v>2.29</v>
      </c>
      <c r="G290" s="58">
        <v>51.54</v>
      </c>
      <c r="H290" s="59">
        <v>6.24</v>
      </c>
      <c r="I290" s="59">
        <v>38.94</v>
      </c>
      <c r="J290" s="59">
        <v>1.3</v>
      </c>
      <c r="K290" s="60"/>
      <c r="L290" s="18"/>
      <c r="M290" s="19">
        <v>16.350000000000001</v>
      </c>
      <c r="N290" s="24" t="s">
        <v>791</v>
      </c>
      <c r="P290" s="6" t="s">
        <v>473</v>
      </c>
    </row>
    <row r="291" spans="1:16" x14ac:dyDescent="0.25">
      <c r="A291" s="99"/>
      <c r="B291" s="24" t="s">
        <v>880</v>
      </c>
      <c r="C291" s="18"/>
      <c r="D291" s="73">
        <v>79.12</v>
      </c>
      <c r="E291" s="74">
        <v>19.850000000000001</v>
      </c>
      <c r="F291" s="19">
        <v>1.03</v>
      </c>
      <c r="G291" s="58">
        <v>53</v>
      </c>
      <c r="H291" s="59">
        <v>5.9</v>
      </c>
      <c r="I291" s="59">
        <v>39.14</v>
      </c>
      <c r="J291" s="59">
        <v>0.32</v>
      </c>
      <c r="K291" s="60"/>
      <c r="L291" s="18"/>
      <c r="M291" s="19">
        <v>20.82</v>
      </c>
      <c r="N291" s="24" t="s">
        <v>791</v>
      </c>
      <c r="P291" s="6" t="s">
        <v>500</v>
      </c>
    </row>
    <row r="292" spans="1:16" x14ac:dyDescent="0.25">
      <c r="A292" s="99"/>
      <c r="B292" s="24" t="s">
        <v>881</v>
      </c>
      <c r="C292" s="18"/>
      <c r="D292" s="73">
        <v>81.64</v>
      </c>
      <c r="E292" s="74">
        <v>19.95</v>
      </c>
      <c r="F292" s="19">
        <v>1.41</v>
      </c>
      <c r="G292" s="58">
        <v>50.2</v>
      </c>
      <c r="H292" s="59">
        <v>6.32</v>
      </c>
      <c r="I292" s="59">
        <v>41.15</v>
      </c>
      <c r="J292" s="59">
        <v>0.69</v>
      </c>
      <c r="K292" s="60"/>
      <c r="L292" s="18"/>
      <c r="M292" s="19">
        <v>18.22</v>
      </c>
      <c r="N292" s="24" t="s">
        <v>791</v>
      </c>
      <c r="P292" s="6" t="s">
        <v>500</v>
      </c>
    </row>
    <row r="293" spans="1:16" x14ac:dyDescent="0.25">
      <c r="A293" s="99"/>
      <c r="B293" s="24" t="s">
        <v>882</v>
      </c>
      <c r="C293" s="18"/>
      <c r="D293" s="73">
        <v>82.03</v>
      </c>
      <c r="E293" s="74">
        <v>16.84</v>
      </c>
      <c r="F293" s="19">
        <v>1.1299999999999999</v>
      </c>
      <c r="G293" s="58">
        <v>48.79</v>
      </c>
      <c r="H293" s="59">
        <v>5.91</v>
      </c>
      <c r="I293" s="59">
        <v>43.41</v>
      </c>
      <c r="J293" s="59">
        <v>0.56000000000000005</v>
      </c>
      <c r="K293" s="60"/>
      <c r="L293" s="18"/>
      <c r="M293" s="19">
        <v>19.260000000000002</v>
      </c>
      <c r="N293" s="24" t="s">
        <v>791</v>
      </c>
      <c r="P293" s="6" t="s">
        <v>500</v>
      </c>
    </row>
    <row r="294" spans="1:16" x14ac:dyDescent="0.25">
      <c r="A294" s="99"/>
      <c r="B294" s="24" t="s">
        <v>883</v>
      </c>
      <c r="C294" s="18"/>
      <c r="D294" s="73">
        <v>76.989999999999995</v>
      </c>
      <c r="E294" s="74">
        <v>22.51</v>
      </c>
      <c r="F294" s="19">
        <v>0.5</v>
      </c>
      <c r="G294" s="58">
        <v>49.73</v>
      </c>
      <c r="H294" s="59">
        <v>5.9</v>
      </c>
      <c r="I294" s="59">
        <v>43.57</v>
      </c>
      <c r="J294" s="59">
        <v>0.32</v>
      </c>
      <c r="K294" s="60"/>
      <c r="L294" s="18"/>
      <c r="M294" s="19">
        <v>23.28</v>
      </c>
      <c r="N294" s="24" t="s">
        <v>791</v>
      </c>
      <c r="P294" s="6" t="s">
        <v>500</v>
      </c>
    </row>
    <row r="295" spans="1:16" x14ac:dyDescent="0.25">
      <c r="A295" s="99"/>
      <c r="B295" s="24" t="s">
        <v>919</v>
      </c>
      <c r="C295" s="18"/>
      <c r="D295" s="73">
        <v>78.62</v>
      </c>
      <c r="E295" s="74">
        <v>19.84</v>
      </c>
      <c r="F295" s="19">
        <v>1.56</v>
      </c>
      <c r="G295" s="58">
        <v>55.62</v>
      </c>
      <c r="H295" s="59">
        <v>6.65</v>
      </c>
      <c r="I295" s="59">
        <v>36.06</v>
      </c>
      <c r="J295" s="59">
        <v>0.36</v>
      </c>
      <c r="K295" s="60"/>
      <c r="L295" s="18"/>
      <c r="M295" s="19">
        <v>16.32</v>
      </c>
      <c r="N295" s="24" t="s">
        <v>791</v>
      </c>
      <c r="P295" s="6" t="s">
        <v>473</v>
      </c>
    </row>
    <row r="296" spans="1:16" x14ac:dyDescent="0.25">
      <c r="A296" s="99"/>
      <c r="B296" s="24" t="s">
        <v>885</v>
      </c>
      <c r="C296" s="18"/>
      <c r="D296" s="73">
        <v>78.28</v>
      </c>
      <c r="E296" s="74">
        <v>21.16</v>
      </c>
      <c r="F296" s="19">
        <v>0.56000000000000005</v>
      </c>
      <c r="G296" s="58">
        <v>49.98</v>
      </c>
      <c r="H296" s="59">
        <v>5.71</v>
      </c>
      <c r="I296" s="59">
        <v>43.35</v>
      </c>
      <c r="J296" s="59">
        <v>0.21</v>
      </c>
      <c r="K296" s="60"/>
      <c r="L296" s="18"/>
      <c r="M296" s="19">
        <v>20.18</v>
      </c>
      <c r="N296" s="24" t="s">
        <v>791</v>
      </c>
      <c r="P296" s="6" t="s">
        <v>500</v>
      </c>
    </row>
    <row r="297" spans="1:16" x14ac:dyDescent="0.25">
      <c r="A297" s="99"/>
      <c r="B297" s="24" t="s">
        <v>720</v>
      </c>
      <c r="C297" s="18">
        <v>6.8</v>
      </c>
      <c r="D297" s="73">
        <v>55.3</v>
      </c>
      <c r="E297" s="74">
        <v>35.299999999999997</v>
      </c>
      <c r="F297" s="19">
        <v>2.6</v>
      </c>
      <c r="G297" s="58">
        <v>49.9</v>
      </c>
      <c r="H297" s="59">
        <v>6.2</v>
      </c>
      <c r="I297" s="59">
        <v>42.4</v>
      </c>
      <c r="J297" s="59">
        <v>1.4</v>
      </c>
      <c r="K297" s="60">
        <v>0.09</v>
      </c>
      <c r="L297" s="18"/>
      <c r="M297" s="19"/>
      <c r="N297" s="24" t="s">
        <v>579</v>
      </c>
    </row>
    <row r="298" spans="1:16" x14ac:dyDescent="0.25">
      <c r="A298" s="99"/>
      <c r="B298" s="24" t="s">
        <v>721</v>
      </c>
      <c r="C298" s="18"/>
      <c r="D298" s="73">
        <v>59.3</v>
      </c>
      <c r="E298" s="74">
        <v>37.9</v>
      </c>
      <c r="F298" s="19">
        <v>2.8</v>
      </c>
      <c r="G298" s="58">
        <v>49.9</v>
      </c>
      <c r="H298" s="59">
        <v>6.2</v>
      </c>
      <c r="I298" s="59">
        <v>42.4</v>
      </c>
      <c r="J298" s="59">
        <v>1.4</v>
      </c>
      <c r="K298" s="60">
        <v>0.09</v>
      </c>
      <c r="L298" s="18"/>
      <c r="M298" s="19"/>
      <c r="N298" s="24" t="s">
        <v>579</v>
      </c>
    </row>
    <row r="299" spans="1:16" x14ac:dyDescent="0.25">
      <c r="A299" s="99"/>
      <c r="B299" s="24" t="s">
        <v>842</v>
      </c>
      <c r="C299" s="18"/>
      <c r="D299" s="73">
        <v>66.040000000000006</v>
      </c>
      <c r="E299" s="74">
        <v>16.59</v>
      </c>
      <c r="F299" s="19">
        <v>17.37</v>
      </c>
      <c r="G299" s="58">
        <v>41.38</v>
      </c>
      <c r="H299" s="59">
        <v>5.15</v>
      </c>
      <c r="I299" s="59">
        <v>35.5</v>
      </c>
      <c r="J299" s="59">
        <v>0.51</v>
      </c>
      <c r="K299" s="60"/>
      <c r="L299" s="18"/>
      <c r="M299" s="19">
        <v>17.09</v>
      </c>
      <c r="N299" s="24" t="s">
        <v>791</v>
      </c>
      <c r="P299" s="6" t="s">
        <v>798</v>
      </c>
    </row>
    <row r="300" spans="1:16" x14ac:dyDescent="0.25">
      <c r="A300" s="99"/>
      <c r="B300" s="24" t="s">
        <v>195</v>
      </c>
      <c r="C300" s="18">
        <v>12.9</v>
      </c>
      <c r="D300" s="73"/>
      <c r="E300" s="74"/>
      <c r="F300" s="19">
        <v>5.3</v>
      </c>
      <c r="G300" s="58"/>
      <c r="H300" s="59"/>
      <c r="I300" s="59"/>
      <c r="J300" s="59">
        <v>0.22</v>
      </c>
      <c r="K300" s="60">
        <v>0.01</v>
      </c>
      <c r="L300" s="18"/>
      <c r="M300" s="19"/>
      <c r="N300" s="24" t="s">
        <v>134</v>
      </c>
    </row>
    <row r="301" spans="1:16" x14ac:dyDescent="0.25">
      <c r="A301" s="100"/>
      <c r="B301" s="51" t="s">
        <v>196</v>
      </c>
      <c r="C301" s="26">
        <v>10</v>
      </c>
      <c r="D301" s="27">
        <v>80.349999999999994</v>
      </c>
      <c r="E301" s="35"/>
      <c r="F301" s="28">
        <v>1.31</v>
      </c>
      <c r="G301" s="61">
        <v>48.79</v>
      </c>
      <c r="H301" s="62">
        <v>6.14</v>
      </c>
      <c r="I301" s="62">
        <v>43.24</v>
      </c>
      <c r="J301" s="62">
        <v>0.51</v>
      </c>
      <c r="K301" s="63">
        <v>0.01</v>
      </c>
      <c r="L301" s="26"/>
      <c r="M301" s="28"/>
      <c r="N301" s="51" t="s">
        <v>134</v>
      </c>
    </row>
    <row r="302" spans="1:16" x14ac:dyDescent="0.25">
      <c r="A302" s="98" t="s">
        <v>248</v>
      </c>
      <c r="B302" s="50" t="s">
        <v>7</v>
      </c>
      <c r="C302" s="37">
        <v>6.4</v>
      </c>
      <c r="D302" s="32">
        <v>50.3</v>
      </c>
      <c r="E302" s="30"/>
      <c r="F302" s="33">
        <v>43.3</v>
      </c>
      <c r="G302" s="64">
        <v>50.9</v>
      </c>
      <c r="H302" s="65">
        <v>7.3</v>
      </c>
      <c r="I302" s="65">
        <v>33.4</v>
      </c>
      <c r="J302" s="65">
        <v>6.1</v>
      </c>
      <c r="K302" s="66">
        <v>2.2999999999999998</v>
      </c>
      <c r="L302" s="37"/>
      <c r="M302" s="33">
        <v>10.7</v>
      </c>
      <c r="N302" s="50" t="s">
        <v>22</v>
      </c>
    </row>
    <row r="303" spans="1:16" x14ac:dyDescent="0.25">
      <c r="A303" s="99"/>
      <c r="B303" s="24" t="s">
        <v>746</v>
      </c>
      <c r="C303" s="18">
        <v>6.4</v>
      </c>
      <c r="D303" s="73">
        <v>45</v>
      </c>
      <c r="E303" s="74">
        <v>5.3</v>
      </c>
      <c r="F303" s="19">
        <v>43.3</v>
      </c>
      <c r="G303" s="58">
        <v>50.9</v>
      </c>
      <c r="H303" s="59">
        <v>7.3</v>
      </c>
      <c r="I303" s="59">
        <v>33.4</v>
      </c>
      <c r="J303" s="59">
        <v>6.1</v>
      </c>
      <c r="K303" s="60">
        <v>2.33</v>
      </c>
      <c r="L303" s="18"/>
      <c r="M303" s="19"/>
      <c r="N303" s="24" t="s">
        <v>579</v>
      </c>
    </row>
    <row r="304" spans="1:16" x14ac:dyDescent="0.25">
      <c r="A304" s="99"/>
      <c r="B304" s="24" t="s">
        <v>747</v>
      </c>
      <c r="C304" s="18"/>
      <c r="D304" s="73">
        <v>48</v>
      </c>
      <c r="E304" s="74">
        <v>5.7</v>
      </c>
      <c r="F304" s="19">
        <v>46.3</v>
      </c>
      <c r="G304" s="58">
        <v>50.9</v>
      </c>
      <c r="H304" s="59">
        <v>7.3</v>
      </c>
      <c r="I304" s="59">
        <v>33.4</v>
      </c>
      <c r="J304" s="59">
        <v>6.1</v>
      </c>
      <c r="K304" s="60">
        <v>2.33</v>
      </c>
      <c r="L304" s="18"/>
      <c r="M304" s="19"/>
      <c r="N304" s="24" t="s">
        <v>579</v>
      </c>
    </row>
    <row r="305" spans="1:16" x14ac:dyDescent="0.25">
      <c r="A305" s="99"/>
      <c r="B305" s="24" t="s">
        <v>483</v>
      </c>
      <c r="C305" s="18" t="s">
        <v>484</v>
      </c>
      <c r="D305" s="73">
        <v>77.400000000000006</v>
      </c>
      <c r="E305" s="74">
        <v>14.9</v>
      </c>
      <c r="F305" s="19">
        <v>7</v>
      </c>
      <c r="G305" s="58"/>
      <c r="H305" s="59"/>
      <c r="I305" s="59"/>
      <c r="J305" s="59"/>
      <c r="K305" s="60"/>
      <c r="L305" s="18"/>
      <c r="M305" s="19" t="s">
        <v>485</v>
      </c>
      <c r="N305" s="24" t="s">
        <v>309</v>
      </c>
      <c r="P305" s="6" t="s">
        <v>486</v>
      </c>
    </row>
    <row r="306" spans="1:16" x14ac:dyDescent="0.25">
      <c r="A306" s="99"/>
      <c r="B306" s="24" t="s">
        <v>488</v>
      </c>
      <c r="C306" s="18" t="s">
        <v>491</v>
      </c>
      <c r="D306" s="73" t="s">
        <v>492</v>
      </c>
      <c r="E306" s="74" t="s">
        <v>493</v>
      </c>
      <c r="F306" s="19" t="s">
        <v>494</v>
      </c>
      <c r="G306" s="58" t="s">
        <v>495</v>
      </c>
      <c r="H306" s="59" t="s">
        <v>496</v>
      </c>
      <c r="I306" s="59" t="s">
        <v>497</v>
      </c>
      <c r="J306" s="59" t="s">
        <v>498</v>
      </c>
      <c r="K306" s="60" t="s">
        <v>499</v>
      </c>
      <c r="L306" s="18"/>
      <c r="M306" s="19"/>
      <c r="N306" s="24" t="s">
        <v>309</v>
      </c>
      <c r="P306" s="6" t="s">
        <v>501</v>
      </c>
    </row>
    <row r="307" spans="1:16" x14ac:dyDescent="0.25">
      <c r="A307" s="99"/>
      <c r="B307" s="24" t="s">
        <v>489</v>
      </c>
      <c r="C307" s="18">
        <v>18.38</v>
      </c>
      <c r="D307" s="73">
        <v>66.510000000000005</v>
      </c>
      <c r="E307" s="74">
        <v>12.41</v>
      </c>
      <c r="F307" s="19">
        <v>2.7</v>
      </c>
      <c r="G307" s="58">
        <v>49.66</v>
      </c>
      <c r="H307" s="59">
        <v>9</v>
      </c>
      <c r="I307" s="59">
        <v>41.08</v>
      </c>
      <c r="J307" s="59">
        <v>0.2</v>
      </c>
      <c r="K307" s="60">
        <v>0.03</v>
      </c>
      <c r="L307" s="18"/>
      <c r="M307" s="19"/>
      <c r="N307" s="24" t="s">
        <v>309</v>
      </c>
      <c r="P307" s="6" t="s">
        <v>501</v>
      </c>
    </row>
    <row r="308" spans="1:16" x14ac:dyDescent="0.25">
      <c r="A308" s="99"/>
      <c r="B308" s="24" t="s">
        <v>543</v>
      </c>
      <c r="C308" s="18">
        <v>10.4</v>
      </c>
      <c r="D308" s="73">
        <v>87.7</v>
      </c>
      <c r="E308" s="74"/>
      <c r="F308" s="19">
        <v>1.9</v>
      </c>
      <c r="G308" s="58">
        <v>49.8</v>
      </c>
      <c r="H308" s="59">
        <v>6</v>
      </c>
      <c r="I308" s="59">
        <v>43.9</v>
      </c>
      <c r="J308" s="59">
        <v>0.2</v>
      </c>
      <c r="K308" s="60">
        <v>0.1</v>
      </c>
      <c r="L308" s="18"/>
      <c r="M308" s="19">
        <v>19.399999999999999</v>
      </c>
      <c r="N308" s="24" t="s">
        <v>22</v>
      </c>
    </row>
    <row r="309" spans="1:16" x14ac:dyDescent="0.25">
      <c r="A309" s="99"/>
      <c r="B309" s="24" t="s">
        <v>490</v>
      </c>
      <c r="C309" s="18">
        <v>58.7</v>
      </c>
      <c r="D309" s="73">
        <v>62.2</v>
      </c>
      <c r="E309" s="74"/>
      <c r="F309" s="19">
        <v>6</v>
      </c>
      <c r="G309" s="58">
        <v>47.2</v>
      </c>
      <c r="H309" s="59">
        <v>5.8</v>
      </c>
      <c r="I309" s="59">
        <v>46.1</v>
      </c>
      <c r="J309" s="59">
        <v>0.8</v>
      </c>
      <c r="K309" s="60"/>
      <c r="L309" s="18"/>
      <c r="M309" s="19">
        <f>19917/1000</f>
        <v>19.917000000000002</v>
      </c>
      <c r="N309" s="24" t="s">
        <v>134</v>
      </c>
    </row>
    <row r="310" spans="1:16" x14ac:dyDescent="0.25">
      <c r="A310" s="99"/>
      <c r="B310" s="24" t="s">
        <v>542</v>
      </c>
      <c r="C310" s="18">
        <v>7.8</v>
      </c>
      <c r="D310" s="73">
        <v>83.97</v>
      </c>
      <c r="E310" s="74">
        <v>10.81</v>
      </c>
      <c r="F310" s="19">
        <v>5.22</v>
      </c>
      <c r="G310" s="58">
        <v>44.52</v>
      </c>
      <c r="H310" s="59">
        <v>5.9</v>
      </c>
      <c r="I310" s="59">
        <v>43.65</v>
      </c>
      <c r="J310" s="59">
        <v>0.32</v>
      </c>
      <c r="K310" s="60">
        <v>0.1</v>
      </c>
      <c r="L310" s="18"/>
      <c r="M310" s="19"/>
      <c r="N310" s="24" t="s">
        <v>553</v>
      </c>
    </row>
    <row r="311" spans="1:16" x14ac:dyDescent="0.25">
      <c r="A311" s="99"/>
      <c r="B311" s="24" t="s">
        <v>828</v>
      </c>
      <c r="C311" s="18">
        <v>10.4</v>
      </c>
      <c r="D311" s="73">
        <v>76.599999999999994</v>
      </c>
      <c r="E311" s="74">
        <v>11.1</v>
      </c>
      <c r="F311" s="19">
        <v>1.9</v>
      </c>
      <c r="G311" s="58">
        <v>49.8</v>
      </c>
      <c r="H311" s="59">
        <v>6</v>
      </c>
      <c r="I311" s="59">
        <v>43.9</v>
      </c>
      <c r="J311" s="59">
        <v>0.2</v>
      </c>
      <c r="K311" s="60">
        <v>0.06</v>
      </c>
      <c r="L311" s="18"/>
      <c r="M311" s="19"/>
      <c r="N311" s="24" t="s">
        <v>579</v>
      </c>
    </row>
    <row r="312" spans="1:16" x14ac:dyDescent="0.25">
      <c r="A312" s="99"/>
      <c r="B312" s="24" t="s">
        <v>715</v>
      </c>
      <c r="C312" s="18"/>
      <c r="D312" s="73">
        <v>85.5</v>
      </c>
      <c r="E312" s="74">
        <v>12.4</v>
      </c>
      <c r="F312" s="19">
        <v>2.1</v>
      </c>
      <c r="G312" s="58">
        <v>49.8</v>
      </c>
      <c r="H312" s="59">
        <v>6</v>
      </c>
      <c r="I312" s="59">
        <v>43.9</v>
      </c>
      <c r="J312" s="59">
        <v>0.2</v>
      </c>
      <c r="K312" s="60">
        <v>0.06</v>
      </c>
      <c r="L312" s="18"/>
      <c r="M312" s="19"/>
      <c r="N312" s="24" t="s">
        <v>579</v>
      </c>
    </row>
    <row r="313" spans="1:16" x14ac:dyDescent="0.25">
      <c r="A313" s="99"/>
      <c r="B313" s="24" t="s">
        <v>829</v>
      </c>
      <c r="C313" s="18"/>
      <c r="D313" s="73">
        <v>81.400000000000006</v>
      </c>
      <c r="E313" s="74">
        <v>14.6</v>
      </c>
      <c r="F313" s="19">
        <v>3.2</v>
      </c>
      <c r="G313" s="58">
        <v>49</v>
      </c>
      <c r="H313" s="59">
        <v>6.7</v>
      </c>
      <c r="I313" s="59">
        <v>41.1</v>
      </c>
      <c r="J313" s="59">
        <v>0.2</v>
      </c>
      <c r="K313" s="60"/>
      <c r="L313" s="18"/>
      <c r="M313" s="19"/>
      <c r="N313" s="24" t="s">
        <v>791</v>
      </c>
      <c r="P313" s="6" t="s">
        <v>798</v>
      </c>
    </row>
    <row r="314" spans="1:16" x14ac:dyDescent="0.25">
      <c r="A314" s="99"/>
      <c r="B314" s="24" t="s">
        <v>816</v>
      </c>
      <c r="C314" s="18"/>
      <c r="D314" s="73">
        <v>77.36</v>
      </c>
      <c r="E314" s="74">
        <v>10.26</v>
      </c>
      <c r="F314" s="19">
        <v>12.38</v>
      </c>
      <c r="G314" s="58">
        <v>45.45</v>
      </c>
      <c r="H314" s="59">
        <v>5.26</v>
      </c>
      <c r="I314" s="59">
        <v>36.65</v>
      </c>
      <c r="J314" s="59">
        <v>0.23</v>
      </c>
      <c r="K314" s="60"/>
      <c r="L314" s="18"/>
      <c r="M314" s="19">
        <v>16.91</v>
      </c>
      <c r="N314" s="24" t="s">
        <v>791</v>
      </c>
      <c r="P314" s="6" t="s">
        <v>830</v>
      </c>
    </row>
    <row r="315" spans="1:16" x14ac:dyDescent="0.25">
      <c r="A315" s="99"/>
      <c r="B315" s="24" t="s">
        <v>817</v>
      </c>
      <c r="C315" s="18"/>
      <c r="D315" s="73">
        <v>68.540000000000006</v>
      </c>
      <c r="E315" s="74">
        <v>30.25</v>
      </c>
      <c r="F315" s="19">
        <v>1.45</v>
      </c>
      <c r="G315" s="58">
        <v>51.1</v>
      </c>
      <c r="H315" s="59">
        <v>6.28</v>
      </c>
      <c r="I315" s="59">
        <v>41</v>
      </c>
      <c r="J315" s="59">
        <v>0.21</v>
      </c>
      <c r="K315" s="60"/>
      <c r="L315" s="18"/>
      <c r="M315" s="19">
        <v>19.05</v>
      </c>
      <c r="N315" s="24" t="s">
        <v>791</v>
      </c>
      <c r="P315" s="6" t="s">
        <v>831</v>
      </c>
    </row>
    <row r="316" spans="1:16" x14ac:dyDescent="0.25">
      <c r="A316" s="99"/>
      <c r="B316" s="24" t="s">
        <v>818</v>
      </c>
      <c r="C316" s="18"/>
      <c r="D316" s="73">
        <v>75.849999999999994</v>
      </c>
      <c r="E316" s="74">
        <v>20.010000000000002</v>
      </c>
      <c r="F316" s="19">
        <v>4.1399999999999997</v>
      </c>
      <c r="G316" s="58">
        <v>46.74</v>
      </c>
      <c r="H316" s="59">
        <v>6.43</v>
      </c>
      <c r="I316" s="59">
        <v>42.35</v>
      </c>
      <c r="J316" s="59">
        <v>0.43</v>
      </c>
      <c r="K316" s="60"/>
      <c r="L316" s="18"/>
      <c r="M316" s="19">
        <v>16.809999999999999</v>
      </c>
      <c r="N316" s="24" t="s">
        <v>791</v>
      </c>
      <c r="P316" s="6" t="s">
        <v>831</v>
      </c>
    </row>
    <row r="317" spans="1:16" x14ac:dyDescent="0.25">
      <c r="A317" s="99"/>
      <c r="B317" s="24" t="s">
        <v>819</v>
      </c>
      <c r="C317" s="18"/>
      <c r="D317" s="73">
        <v>70</v>
      </c>
      <c r="E317" s="74">
        <v>28.7</v>
      </c>
      <c r="F317" s="19">
        <v>1.3</v>
      </c>
      <c r="G317" s="58">
        <v>48.58</v>
      </c>
      <c r="H317" s="59">
        <v>5.97</v>
      </c>
      <c r="I317" s="59">
        <v>43.85</v>
      </c>
      <c r="J317" s="59">
        <v>0.2</v>
      </c>
      <c r="K317" s="60"/>
      <c r="L317" s="18"/>
      <c r="M317" s="19">
        <v>19.2</v>
      </c>
      <c r="N317" s="24" t="s">
        <v>791</v>
      </c>
      <c r="P317" s="6" t="s">
        <v>831</v>
      </c>
    </row>
    <row r="318" spans="1:16" x14ac:dyDescent="0.25">
      <c r="A318" s="99"/>
      <c r="B318" s="24" t="s">
        <v>820</v>
      </c>
      <c r="C318" s="18"/>
      <c r="D318" s="73">
        <v>78.599999999999994</v>
      </c>
      <c r="E318" s="74">
        <v>14</v>
      </c>
      <c r="F318" s="19">
        <v>7.4</v>
      </c>
      <c r="G318" s="58">
        <v>45.2</v>
      </c>
      <c r="H318" s="59">
        <v>5.4</v>
      </c>
      <c r="I318" s="59">
        <v>41.8</v>
      </c>
      <c r="J318" s="59">
        <v>0.2</v>
      </c>
      <c r="K318" s="60"/>
      <c r="L318" s="18"/>
      <c r="M318" s="19">
        <v>18.2</v>
      </c>
      <c r="N318" s="24" t="s">
        <v>791</v>
      </c>
      <c r="P318" s="6" t="s">
        <v>482</v>
      </c>
    </row>
    <row r="319" spans="1:16" x14ac:dyDescent="0.25">
      <c r="A319" s="99"/>
      <c r="B319" s="24" t="s">
        <v>821</v>
      </c>
      <c r="C319" s="18"/>
      <c r="D319" s="73">
        <v>86.3</v>
      </c>
      <c r="E319" s="74">
        <v>12.71</v>
      </c>
      <c r="F319" s="19">
        <v>0.97</v>
      </c>
      <c r="G319" s="58">
        <v>51.05</v>
      </c>
      <c r="H319" s="59">
        <v>5.99</v>
      </c>
      <c r="I319" s="59">
        <v>44.73</v>
      </c>
      <c r="J319" s="59">
        <v>0.22</v>
      </c>
      <c r="K319" s="60"/>
      <c r="L319" s="18"/>
      <c r="M319" s="19"/>
      <c r="N319" s="24" t="s">
        <v>791</v>
      </c>
      <c r="P319" s="6" t="s">
        <v>798</v>
      </c>
    </row>
    <row r="320" spans="1:16" x14ac:dyDescent="0.25">
      <c r="A320" s="99"/>
      <c r="B320" s="24" t="s">
        <v>822</v>
      </c>
      <c r="C320" s="18"/>
      <c r="D320" s="73">
        <v>75.8</v>
      </c>
      <c r="E320" s="74">
        <v>20</v>
      </c>
      <c r="F320" s="19">
        <v>4.2</v>
      </c>
      <c r="G320" s="58">
        <v>44.1</v>
      </c>
      <c r="H320" s="59">
        <v>5.26</v>
      </c>
      <c r="I320" s="59">
        <v>44.4</v>
      </c>
      <c r="J320" s="59">
        <v>0</v>
      </c>
      <c r="K320" s="60"/>
      <c r="L320" s="18"/>
      <c r="M320" s="19">
        <v>18.11</v>
      </c>
      <c r="N320" s="24" t="s">
        <v>791</v>
      </c>
      <c r="P320" s="6" t="s">
        <v>486</v>
      </c>
    </row>
    <row r="321" spans="1:16" x14ac:dyDescent="0.25">
      <c r="A321" s="99"/>
      <c r="B321" s="24" t="s">
        <v>823</v>
      </c>
      <c r="C321" s="18"/>
      <c r="D321" s="73">
        <v>89.92</v>
      </c>
      <c r="E321" s="74">
        <v>3.43</v>
      </c>
      <c r="F321" s="19">
        <v>6.65</v>
      </c>
      <c r="G321" s="58">
        <v>44.6</v>
      </c>
      <c r="H321" s="59">
        <v>5.84</v>
      </c>
      <c r="I321" s="59">
        <v>42.31</v>
      </c>
      <c r="J321" s="59">
        <v>0.2</v>
      </c>
      <c r="K321" s="60"/>
      <c r="L321" s="18"/>
      <c r="M321" s="19">
        <v>18.7</v>
      </c>
      <c r="N321" s="24" t="s">
        <v>791</v>
      </c>
      <c r="P321" s="6" t="s">
        <v>815</v>
      </c>
    </row>
    <row r="322" spans="1:16" x14ac:dyDescent="0.25">
      <c r="A322" s="99"/>
      <c r="B322" s="24" t="s">
        <v>824</v>
      </c>
      <c r="C322" s="18"/>
      <c r="D322" s="73">
        <v>82.01</v>
      </c>
      <c r="E322" s="74">
        <v>17.3</v>
      </c>
      <c r="F322" s="19">
        <v>0.69</v>
      </c>
      <c r="G322" s="58">
        <v>44.69</v>
      </c>
      <c r="H322" s="59">
        <v>6.01</v>
      </c>
      <c r="I322" s="59">
        <v>48.24</v>
      </c>
      <c r="J322" s="59">
        <v>0.3</v>
      </c>
      <c r="K322" s="60"/>
      <c r="L322" s="18"/>
      <c r="M322" s="19"/>
      <c r="N322" s="24" t="s">
        <v>791</v>
      </c>
      <c r="P322" s="6" t="s">
        <v>815</v>
      </c>
    </row>
    <row r="323" spans="1:16" x14ac:dyDescent="0.25">
      <c r="A323" s="99"/>
      <c r="B323" s="24" t="s">
        <v>825</v>
      </c>
      <c r="C323" s="18"/>
      <c r="D323" s="73">
        <v>91.8</v>
      </c>
      <c r="E323" s="74">
        <v>1.8</v>
      </c>
      <c r="F323" s="19">
        <v>6.4</v>
      </c>
      <c r="G323" s="58">
        <v>45.04</v>
      </c>
      <c r="H323" s="59">
        <v>5.78</v>
      </c>
      <c r="I323" s="59">
        <v>41.57</v>
      </c>
      <c r="J323" s="59">
        <v>1.75</v>
      </c>
      <c r="K323" s="60"/>
      <c r="L323" s="18"/>
      <c r="M323" s="19">
        <v>18.170000000000002</v>
      </c>
      <c r="N323" s="24" t="s">
        <v>791</v>
      </c>
      <c r="P323" s="6" t="s">
        <v>815</v>
      </c>
    </row>
    <row r="324" spans="1:16" x14ac:dyDescent="0.25">
      <c r="A324" s="99"/>
      <c r="B324" s="24" t="s">
        <v>826</v>
      </c>
      <c r="C324" s="18"/>
      <c r="D324" s="73">
        <v>88.38</v>
      </c>
      <c r="E324" s="74">
        <v>7.65</v>
      </c>
      <c r="F324" s="19">
        <v>3.97</v>
      </c>
      <c r="G324" s="58">
        <v>47.61</v>
      </c>
      <c r="H324" s="59">
        <v>5.03</v>
      </c>
      <c r="I324" s="59">
        <v>42.54</v>
      </c>
      <c r="J324" s="59">
        <v>0.35</v>
      </c>
      <c r="K324" s="60"/>
      <c r="L324" s="18"/>
      <c r="M324" s="19">
        <v>17.739999999999998</v>
      </c>
      <c r="N324" s="24" t="s">
        <v>791</v>
      </c>
      <c r="P324" s="6" t="s">
        <v>832</v>
      </c>
    </row>
    <row r="325" spans="1:16" x14ac:dyDescent="0.25">
      <c r="A325" s="99"/>
      <c r="B325" s="24" t="s">
        <v>827</v>
      </c>
      <c r="C325" s="18"/>
      <c r="D325" s="73">
        <v>85.61</v>
      </c>
      <c r="E325" s="74">
        <v>11.95</v>
      </c>
      <c r="F325" s="19">
        <v>2.44</v>
      </c>
      <c r="G325" s="58">
        <v>48.64</v>
      </c>
      <c r="H325" s="59">
        <v>5.87</v>
      </c>
      <c r="I325" s="59">
        <v>42.82</v>
      </c>
      <c r="J325" s="59">
        <v>0.16</v>
      </c>
      <c r="K325" s="60"/>
      <c r="L325" s="18"/>
      <c r="M325" s="19">
        <v>18.989999999999998</v>
      </c>
      <c r="N325" s="24" t="s">
        <v>791</v>
      </c>
      <c r="P325" s="6" t="s">
        <v>500</v>
      </c>
    </row>
    <row r="326" spans="1:16" x14ac:dyDescent="0.25">
      <c r="A326" s="99"/>
      <c r="B326" s="24" t="s">
        <v>833</v>
      </c>
      <c r="C326" s="18"/>
      <c r="D326" s="73">
        <v>86.85</v>
      </c>
      <c r="E326" s="74">
        <v>8.8800000000000008</v>
      </c>
      <c r="F326" s="19">
        <v>4.2699999999999996</v>
      </c>
      <c r="G326" s="58">
        <v>44.31</v>
      </c>
      <c r="H326" s="59">
        <v>5.73</v>
      </c>
      <c r="I326" s="59">
        <v>44.96</v>
      </c>
      <c r="J326" s="59">
        <v>0.63</v>
      </c>
      <c r="K326" s="60"/>
      <c r="L326" s="18"/>
      <c r="M326" s="19">
        <v>16.88</v>
      </c>
      <c r="N326" s="24" t="s">
        <v>791</v>
      </c>
      <c r="P326" s="6" t="s">
        <v>835</v>
      </c>
    </row>
    <row r="327" spans="1:16" x14ac:dyDescent="0.25">
      <c r="A327" s="99"/>
      <c r="B327" s="24" t="s">
        <v>834</v>
      </c>
      <c r="C327" s="18"/>
      <c r="D327" s="73">
        <v>79.59</v>
      </c>
      <c r="E327" s="74">
        <v>16.07</v>
      </c>
      <c r="F327" s="19">
        <v>4.34</v>
      </c>
      <c r="G327" s="58">
        <v>58.14</v>
      </c>
      <c r="H327" s="59">
        <v>6.05</v>
      </c>
      <c r="I327" s="59">
        <v>30.23</v>
      </c>
      <c r="J327" s="59">
        <v>0.69</v>
      </c>
      <c r="K327" s="60"/>
      <c r="L327" s="18"/>
      <c r="M327" s="19"/>
      <c r="N327" s="24" t="s">
        <v>791</v>
      </c>
      <c r="P327" s="6" t="s">
        <v>836</v>
      </c>
    </row>
    <row r="328" spans="1:16" x14ac:dyDescent="0.25">
      <c r="A328" s="99"/>
      <c r="B328" s="24" t="s">
        <v>837</v>
      </c>
      <c r="C328" s="18"/>
      <c r="D328" s="73">
        <v>79.64</v>
      </c>
      <c r="E328" s="74">
        <v>16.68</v>
      </c>
      <c r="F328" s="19">
        <v>3.68</v>
      </c>
      <c r="G328" s="58">
        <v>44.09</v>
      </c>
      <c r="H328" s="59">
        <v>5.59</v>
      </c>
      <c r="I328" s="59">
        <v>46.45</v>
      </c>
      <c r="J328" s="59">
        <v>0.32</v>
      </c>
      <c r="K328" s="60"/>
      <c r="L328" s="18"/>
      <c r="M328" s="19">
        <v>18.57</v>
      </c>
      <c r="N328" s="24" t="s">
        <v>791</v>
      </c>
      <c r="P328" s="6" t="s">
        <v>798</v>
      </c>
    </row>
    <row r="329" spans="1:16" x14ac:dyDescent="0.25">
      <c r="A329" s="99"/>
      <c r="B329" s="24" t="s">
        <v>197</v>
      </c>
      <c r="C329" s="18">
        <v>7.01</v>
      </c>
      <c r="D329" s="73">
        <v>58.4</v>
      </c>
      <c r="E329" s="74"/>
      <c r="F329" s="19">
        <v>3.5</v>
      </c>
      <c r="G329" s="58">
        <v>55.4</v>
      </c>
      <c r="H329" s="59">
        <v>6.2</v>
      </c>
      <c r="I329" s="59">
        <v>37</v>
      </c>
      <c r="J329" s="59">
        <v>1.4</v>
      </c>
      <c r="K329" s="60"/>
      <c r="L329" s="18"/>
      <c r="M329" s="19">
        <f>17698/1000</f>
        <v>17.698</v>
      </c>
      <c r="N329" s="24" t="s">
        <v>134</v>
      </c>
    </row>
    <row r="330" spans="1:16" x14ac:dyDescent="0.25">
      <c r="A330" s="99"/>
      <c r="B330" s="24" t="s">
        <v>294</v>
      </c>
      <c r="C330" s="18"/>
      <c r="D330" s="73">
        <v>65.099999999999994</v>
      </c>
      <c r="E330" s="74">
        <v>24.3</v>
      </c>
      <c r="F330" s="19">
        <v>4.3</v>
      </c>
      <c r="G330" s="58">
        <v>53.9</v>
      </c>
      <c r="H330" s="59">
        <v>6.6</v>
      </c>
      <c r="I330" s="59">
        <v>37.200000000000003</v>
      </c>
      <c r="J330" s="59">
        <v>2.2000000000000002</v>
      </c>
      <c r="K330" s="60">
        <v>0.1</v>
      </c>
      <c r="L330" s="18">
        <v>20.5</v>
      </c>
      <c r="M330" s="19">
        <v>22.1</v>
      </c>
      <c r="N330" s="24" t="s">
        <v>293</v>
      </c>
      <c r="P330" s="6" t="s">
        <v>295</v>
      </c>
    </row>
    <row r="331" spans="1:16" x14ac:dyDescent="0.25">
      <c r="A331" s="99"/>
      <c r="B331" s="24" t="s">
        <v>291</v>
      </c>
      <c r="C331" s="18"/>
      <c r="D331" s="73">
        <v>69.5</v>
      </c>
      <c r="E331" s="74"/>
      <c r="F331" s="19">
        <v>4.5999999999999996</v>
      </c>
      <c r="G331" s="58">
        <v>57.6</v>
      </c>
      <c r="H331" s="59">
        <v>6.3</v>
      </c>
      <c r="I331" s="59">
        <v>33.700000000000003</v>
      </c>
      <c r="J331" s="59">
        <v>2.4</v>
      </c>
      <c r="K331" s="60">
        <v>0.2</v>
      </c>
      <c r="L331" s="18">
        <v>22.2</v>
      </c>
      <c r="M331" s="19">
        <v>23.5</v>
      </c>
      <c r="N331" s="24" t="s">
        <v>293</v>
      </c>
      <c r="P331" s="6" t="s">
        <v>295</v>
      </c>
    </row>
    <row r="332" spans="1:16" x14ac:dyDescent="0.25">
      <c r="A332" s="99"/>
      <c r="B332" s="24" t="s">
        <v>292</v>
      </c>
      <c r="C332" s="18">
        <v>7.6</v>
      </c>
      <c r="D332" s="73">
        <v>69.58</v>
      </c>
      <c r="E332" s="74"/>
      <c r="F332" s="19">
        <v>2.2999999999999998</v>
      </c>
      <c r="G332" s="58">
        <v>49.9</v>
      </c>
      <c r="H332" s="59">
        <v>6.3</v>
      </c>
      <c r="I332" s="59">
        <v>32.299999999999997</v>
      </c>
      <c r="J332" s="59">
        <v>1.3</v>
      </c>
      <c r="K332" s="60">
        <v>0.18</v>
      </c>
      <c r="L332" s="18"/>
      <c r="M332" s="19">
        <f>21290/1000</f>
        <v>21.29</v>
      </c>
      <c r="N332" s="24" t="s">
        <v>134</v>
      </c>
    </row>
    <row r="333" spans="1:16" x14ac:dyDescent="0.25">
      <c r="A333" s="99"/>
      <c r="B333" s="24" t="s">
        <v>554</v>
      </c>
      <c r="C333" s="18">
        <v>11.03</v>
      </c>
      <c r="D333" s="73">
        <v>79.849999999999994</v>
      </c>
      <c r="E333" s="74">
        <v>6.65</v>
      </c>
      <c r="F333" s="19">
        <v>2.4700000000000002</v>
      </c>
      <c r="G333" s="58">
        <v>42.82</v>
      </c>
      <c r="H333" s="59">
        <v>5.37</v>
      </c>
      <c r="I333" s="59">
        <v>50.91</v>
      </c>
      <c r="J333" s="59">
        <v>0.9</v>
      </c>
      <c r="K333" s="60"/>
      <c r="L333" s="18"/>
      <c r="M333" s="19">
        <v>14.201000000000001</v>
      </c>
      <c r="N333" s="24" t="s">
        <v>556</v>
      </c>
    </row>
    <row r="334" spans="1:16" x14ac:dyDescent="0.25">
      <c r="A334" s="99"/>
      <c r="B334" s="24" t="s">
        <v>555</v>
      </c>
      <c r="C334" s="18">
        <v>8.7200000000000006</v>
      </c>
      <c r="D334" s="73">
        <v>78.13</v>
      </c>
      <c r="E334" s="74">
        <v>6.88</v>
      </c>
      <c r="F334" s="19">
        <v>6.27</v>
      </c>
      <c r="G334" s="58">
        <v>45.32</v>
      </c>
      <c r="H334" s="59">
        <v>6.22</v>
      </c>
      <c r="I334" s="59">
        <v>45.41</v>
      </c>
      <c r="J334" s="59">
        <v>3.05</v>
      </c>
      <c r="K334" s="60"/>
      <c r="L334" s="18"/>
      <c r="M334" s="19">
        <v>16.939</v>
      </c>
      <c r="N334" s="24" t="s">
        <v>556</v>
      </c>
    </row>
    <row r="335" spans="1:16" x14ac:dyDescent="0.25">
      <c r="A335" s="99"/>
      <c r="B335" s="24" t="s">
        <v>928</v>
      </c>
      <c r="C335" s="18"/>
      <c r="D335" s="73">
        <v>82.11</v>
      </c>
      <c r="E335" s="74">
        <v>17.48</v>
      </c>
      <c r="F335" s="19">
        <v>0.41</v>
      </c>
      <c r="G335" s="58">
        <v>51.23</v>
      </c>
      <c r="H335" s="59">
        <v>5.98</v>
      </c>
      <c r="I335" s="59">
        <v>42.1</v>
      </c>
      <c r="J335" s="59">
        <v>0.06</v>
      </c>
      <c r="K335" s="60"/>
      <c r="L335" s="18"/>
      <c r="M335" s="19">
        <v>20.420000000000002</v>
      </c>
      <c r="N335" s="24" t="s">
        <v>791</v>
      </c>
      <c r="P335" s="6" t="s">
        <v>500</v>
      </c>
    </row>
    <row r="336" spans="1:16" x14ac:dyDescent="0.25">
      <c r="A336" s="99"/>
      <c r="B336" s="24" t="s">
        <v>929</v>
      </c>
      <c r="C336" s="18"/>
      <c r="D336" s="73">
        <v>80.62</v>
      </c>
      <c r="E336" s="74">
        <v>12.19</v>
      </c>
      <c r="F336" s="19">
        <v>7.19</v>
      </c>
      <c r="G336" s="58">
        <v>44.42</v>
      </c>
      <c r="H336" s="59">
        <v>6.23</v>
      </c>
      <c r="I336" s="59">
        <v>37.32</v>
      </c>
      <c r="J336" s="59">
        <v>4.33</v>
      </c>
      <c r="K336" s="60"/>
      <c r="L336" s="18"/>
      <c r="M336" s="19">
        <v>21.24</v>
      </c>
      <c r="N336" s="24" t="s">
        <v>791</v>
      </c>
      <c r="P336" s="6" t="s">
        <v>799</v>
      </c>
    </row>
    <row r="337" spans="1:16" x14ac:dyDescent="0.25">
      <c r="A337" s="99"/>
      <c r="B337" s="24" t="s">
        <v>930</v>
      </c>
      <c r="C337" s="18"/>
      <c r="D337" s="73">
        <v>65.56</v>
      </c>
      <c r="E337" s="74">
        <v>16.34</v>
      </c>
      <c r="F337" s="19">
        <v>18.100000000000001</v>
      </c>
      <c r="G337" s="58">
        <v>42.7</v>
      </c>
      <c r="H337" s="59">
        <v>6</v>
      </c>
      <c r="I337" s="59">
        <v>33</v>
      </c>
      <c r="J337" s="59">
        <v>0.1</v>
      </c>
      <c r="K337" s="60"/>
      <c r="L337" s="18"/>
      <c r="M337" s="19">
        <v>17.48</v>
      </c>
      <c r="N337" s="24" t="s">
        <v>791</v>
      </c>
      <c r="P337" s="6" t="s">
        <v>486</v>
      </c>
    </row>
    <row r="338" spans="1:16" x14ac:dyDescent="0.25">
      <c r="A338" s="99"/>
      <c r="B338" s="24" t="s">
        <v>931</v>
      </c>
      <c r="C338" s="18"/>
      <c r="D338" s="73">
        <v>83.78</v>
      </c>
      <c r="E338" s="74">
        <v>9.2200000000000006</v>
      </c>
      <c r="F338" s="19">
        <v>7.01</v>
      </c>
      <c r="G338" s="58">
        <v>45.59</v>
      </c>
      <c r="H338" s="59">
        <v>6.49</v>
      </c>
      <c r="I338" s="59">
        <v>34.44</v>
      </c>
      <c r="J338" s="59">
        <v>6.47</v>
      </c>
      <c r="K338" s="60"/>
      <c r="L338" s="18"/>
      <c r="M338" s="19">
        <v>20.47</v>
      </c>
      <c r="N338" s="24" t="s">
        <v>791</v>
      </c>
      <c r="P338" s="6" t="s">
        <v>835</v>
      </c>
    </row>
    <row r="339" spans="1:16" x14ac:dyDescent="0.25">
      <c r="A339" s="99"/>
      <c r="B339" s="24" t="s">
        <v>938</v>
      </c>
      <c r="C339" s="18"/>
      <c r="D339" s="73">
        <v>85</v>
      </c>
      <c r="E339" s="74">
        <v>13.6</v>
      </c>
      <c r="F339" s="19">
        <v>1.4</v>
      </c>
      <c r="G339" s="58">
        <v>51.26</v>
      </c>
      <c r="H339" s="59">
        <v>5.8</v>
      </c>
      <c r="I339" s="59">
        <v>41.66</v>
      </c>
      <c r="J339" s="59">
        <v>0.53</v>
      </c>
      <c r="K339" s="60"/>
      <c r="L339" s="18"/>
      <c r="M339" s="19">
        <v>17.100000000000001</v>
      </c>
      <c r="N339" s="24" t="s">
        <v>791</v>
      </c>
      <c r="P339" s="6" t="s">
        <v>473</v>
      </c>
    </row>
    <row r="340" spans="1:16" x14ac:dyDescent="0.25">
      <c r="A340" s="99"/>
      <c r="B340" s="24" t="s">
        <v>939</v>
      </c>
      <c r="C340" s="18"/>
      <c r="D340" s="73">
        <v>66.040000000000006</v>
      </c>
      <c r="E340" s="74">
        <v>13.59</v>
      </c>
      <c r="F340" s="19">
        <v>20.37</v>
      </c>
      <c r="G340" s="58">
        <v>41.54</v>
      </c>
      <c r="H340" s="59">
        <v>4.79</v>
      </c>
      <c r="I340" s="59">
        <v>31.91</v>
      </c>
      <c r="J340" s="59">
        <v>0.85</v>
      </c>
      <c r="K340" s="60"/>
      <c r="L340" s="18"/>
      <c r="M340" s="19">
        <v>16.3</v>
      </c>
      <c r="N340" s="24" t="s">
        <v>791</v>
      </c>
      <c r="P340" s="6" t="s">
        <v>500</v>
      </c>
    </row>
    <row r="341" spans="1:16" x14ac:dyDescent="0.25">
      <c r="A341" s="99"/>
      <c r="B341" s="24" t="s">
        <v>302</v>
      </c>
      <c r="C341" s="18">
        <v>5.2</v>
      </c>
      <c r="D341" s="73">
        <v>67.7</v>
      </c>
      <c r="E341" s="74"/>
      <c r="F341" s="19">
        <v>14.7</v>
      </c>
      <c r="G341" s="58">
        <v>43.7</v>
      </c>
      <c r="H341" s="59">
        <v>5.3</v>
      </c>
      <c r="I341" s="59">
        <v>36.1</v>
      </c>
      <c r="J341" s="59">
        <v>0.1</v>
      </c>
      <c r="K341" s="60">
        <v>0.02</v>
      </c>
      <c r="L341" s="18"/>
      <c r="M341" s="19">
        <f>16350/1000</f>
        <v>16.350000000000001</v>
      </c>
      <c r="N341" s="24" t="s">
        <v>134</v>
      </c>
    </row>
    <row r="342" spans="1:16" x14ac:dyDescent="0.25">
      <c r="A342" s="99"/>
      <c r="B342" s="24" t="s">
        <v>301</v>
      </c>
      <c r="C342" s="18">
        <v>5.56</v>
      </c>
      <c r="D342" s="73">
        <v>57.55</v>
      </c>
      <c r="E342" s="74"/>
      <c r="F342" s="19">
        <v>14.68</v>
      </c>
      <c r="G342" s="58">
        <v>38.47</v>
      </c>
      <c r="H342" s="59">
        <v>5.75</v>
      </c>
      <c r="I342" s="59">
        <v>54.09</v>
      </c>
      <c r="J342" s="59">
        <v>1.68</v>
      </c>
      <c r="K342" s="60">
        <v>0.01</v>
      </c>
      <c r="L342" s="18"/>
      <c r="M342" s="19">
        <v>15.49</v>
      </c>
      <c r="N342" s="24" t="s">
        <v>303</v>
      </c>
      <c r="P342" s="6" t="s">
        <v>472</v>
      </c>
    </row>
    <row r="343" spans="1:16" x14ac:dyDescent="0.25">
      <c r="A343" s="99"/>
      <c r="B343" s="24" t="s">
        <v>198</v>
      </c>
      <c r="C343" s="18">
        <v>11.32</v>
      </c>
      <c r="D343" s="73">
        <v>76.5</v>
      </c>
      <c r="E343" s="74"/>
      <c r="F343" s="19">
        <v>3.5</v>
      </c>
      <c r="G343" s="58">
        <v>55.4</v>
      </c>
      <c r="H343" s="59">
        <v>6.2</v>
      </c>
      <c r="I343" s="59">
        <v>37</v>
      </c>
      <c r="J343" s="59">
        <v>1.4</v>
      </c>
      <c r="K343" s="60"/>
      <c r="L343" s="18"/>
      <c r="M343" s="19">
        <f>22663/1000</f>
        <v>22.663</v>
      </c>
      <c r="N343" s="24" t="s">
        <v>134</v>
      </c>
    </row>
    <row r="344" spans="1:16" x14ac:dyDescent="0.25">
      <c r="A344" s="99"/>
      <c r="B344" s="24" t="s">
        <v>545</v>
      </c>
      <c r="C344" s="18">
        <v>13.01</v>
      </c>
      <c r="D344" s="73">
        <v>59.45</v>
      </c>
      <c r="E344" s="74">
        <v>6.82</v>
      </c>
      <c r="F344" s="19">
        <v>20.72</v>
      </c>
      <c r="G344" s="58">
        <v>41.74</v>
      </c>
      <c r="H344" s="59">
        <v>5</v>
      </c>
      <c r="I344" s="59">
        <v>48.05</v>
      </c>
      <c r="J344" s="59">
        <v>5.12</v>
      </c>
      <c r="K344" s="60">
        <v>0.09</v>
      </c>
      <c r="L344" s="18"/>
      <c r="M344" s="19">
        <v>14.53</v>
      </c>
      <c r="N344" s="24" t="s">
        <v>548</v>
      </c>
    </row>
    <row r="345" spans="1:16" x14ac:dyDescent="0.25">
      <c r="A345" s="99"/>
      <c r="B345" s="24" t="s">
        <v>546</v>
      </c>
      <c r="C345" s="18">
        <v>12.3</v>
      </c>
      <c r="D345" s="73">
        <v>72.75</v>
      </c>
      <c r="E345" s="74">
        <v>1.69</v>
      </c>
      <c r="F345" s="19">
        <v>13.26</v>
      </c>
      <c r="G345" s="58">
        <v>42.39</v>
      </c>
      <c r="H345" s="59">
        <v>6.49</v>
      </c>
      <c r="I345" s="59">
        <v>48.48</v>
      </c>
      <c r="J345" s="59">
        <v>2.23</v>
      </c>
      <c r="K345" s="60">
        <v>0.41</v>
      </c>
      <c r="L345" s="18"/>
      <c r="M345" s="19">
        <v>14.98</v>
      </c>
      <c r="N345" s="24" t="s">
        <v>548</v>
      </c>
    </row>
    <row r="346" spans="1:16" x14ac:dyDescent="0.25">
      <c r="A346" s="99"/>
      <c r="B346" s="24" t="s">
        <v>547</v>
      </c>
      <c r="C346" s="18">
        <v>10.8</v>
      </c>
      <c r="D346" s="73">
        <v>68.540000000000006</v>
      </c>
      <c r="E346" s="74">
        <v>11.78</v>
      </c>
      <c r="F346" s="19">
        <v>8.8800000000000008</v>
      </c>
      <c r="G346" s="58">
        <v>46.4</v>
      </c>
      <c r="H346" s="59">
        <v>5.96</v>
      </c>
      <c r="I346" s="59">
        <v>45.56</v>
      </c>
      <c r="J346" s="59">
        <v>2.08</v>
      </c>
      <c r="K346" s="60"/>
      <c r="L346" s="18"/>
      <c r="M346" s="19"/>
      <c r="N346" s="24" t="s">
        <v>548</v>
      </c>
    </row>
    <row r="347" spans="1:16" x14ac:dyDescent="0.25">
      <c r="A347" s="99"/>
      <c r="B347" s="24" t="s">
        <v>922</v>
      </c>
      <c r="C347" s="18"/>
      <c r="D347" s="73">
        <v>72.599999999999994</v>
      </c>
      <c r="E347" s="74">
        <v>11.2</v>
      </c>
      <c r="F347" s="19">
        <v>17.2</v>
      </c>
      <c r="G347" s="58"/>
      <c r="H347" s="59"/>
      <c r="I347" s="59"/>
      <c r="J347" s="59"/>
      <c r="K347" s="60"/>
      <c r="L347" s="18"/>
      <c r="M347" s="19">
        <v>15</v>
      </c>
      <c r="N347" s="24" t="s">
        <v>791</v>
      </c>
      <c r="P347" s="6" t="s">
        <v>473</v>
      </c>
    </row>
    <row r="348" spans="1:16" x14ac:dyDescent="0.25">
      <c r="A348" s="99"/>
      <c r="B348" s="24" t="s">
        <v>923</v>
      </c>
      <c r="C348" s="18"/>
      <c r="D348" s="73">
        <v>79.599999999999994</v>
      </c>
      <c r="E348" s="74">
        <v>18</v>
      </c>
      <c r="F348" s="19">
        <v>2.4</v>
      </c>
      <c r="G348" s="58"/>
      <c r="H348" s="59"/>
      <c r="I348" s="59"/>
      <c r="J348" s="59"/>
      <c r="K348" s="60"/>
      <c r="L348" s="18"/>
      <c r="M348" s="19">
        <v>17.7</v>
      </c>
      <c r="N348" s="24" t="s">
        <v>791</v>
      </c>
      <c r="P348" s="6" t="s">
        <v>473</v>
      </c>
    </row>
    <row r="349" spans="1:16" x14ac:dyDescent="0.25">
      <c r="A349" s="99"/>
      <c r="B349" s="24" t="s">
        <v>199</v>
      </c>
      <c r="C349" s="18">
        <v>10</v>
      </c>
      <c r="D349" s="73"/>
      <c r="E349" s="74"/>
      <c r="F349" s="19">
        <v>3.9</v>
      </c>
      <c r="G349" s="58">
        <v>51.3</v>
      </c>
      <c r="H349" s="59">
        <v>5.9</v>
      </c>
      <c r="I349" s="59"/>
      <c r="J349" s="59">
        <v>0.95</v>
      </c>
      <c r="K349" s="60">
        <v>0.11</v>
      </c>
      <c r="L349" s="18"/>
      <c r="M349" s="19"/>
      <c r="N349" s="24" t="s">
        <v>134</v>
      </c>
    </row>
    <row r="350" spans="1:16" x14ac:dyDescent="0.25">
      <c r="A350" s="99"/>
      <c r="B350" s="24" t="s">
        <v>200</v>
      </c>
      <c r="C350" s="18"/>
      <c r="D350" s="73" t="s">
        <v>376</v>
      </c>
      <c r="E350" s="74" t="s">
        <v>377</v>
      </c>
      <c r="F350" s="19" t="s">
        <v>378</v>
      </c>
      <c r="G350" s="58" t="s">
        <v>379</v>
      </c>
      <c r="H350" s="59" t="s">
        <v>380</v>
      </c>
      <c r="I350" s="59" t="s">
        <v>381</v>
      </c>
      <c r="J350" s="59" t="s">
        <v>382</v>
      </c>
      <c r="K350" s="60"/>
      <c r="L350" s="18"/>
      <c r="M350" s="19" t="s">
        <v>375</v>
      </c>
      <c r="N350" s="24" t="s">
        <v>134</v>
      </c>
    </row>
    <row r="351" spans="1:16" x14ac:dyDescent="0.25">
      <c r="A351" s="99"/>
      <c r="B351" s="24" t="s">
        <v>201</v>
      </c>
      <c r="C351" s="18" t="s">
        <v>384</v>
      </c>
      <c r="D351" s="73" t="s">
        <v>385</v>
      </c>
      <c r="E351" s="74" t="s">
        <v>386</v>
      </c>
      <c r="F351" s="19" t="s">
        <v>387</v>
      </c>
      <c r="G351" s="58" t="s">
        <v>388</v>
      </c>
      <c r="H351" s="59" t="s">
        <v>389</v>
      </c>
      <c r="I351" s="59" t="s">
        <v>390</v>
      </c>
      <c r="J351" s="59" t="s">
        <v>391</v>
      </c>
      <c r="K351" s="60" t="s">
        <v>392</v>
      </c>
      <c r="L351" s="18"/>
      <c r="M351" s="19" t="s">
        <v>383</v>
      </c>
      <c r="N351" s="24" t="s">
        <v>134</v>
      </c>
    </row>
    <row r="352" spans="1:16" x14ac:dyDescent="0.25">
      <c r="A352" s="99"/>
      <c r="B352" s="24" t="s">
        <v>202</v>
      </c>
      <c r="C352" s="18">
        <v>6.9</v>
      </c>
      <c r="D352" s="73">
        <v>71.900000000000006</v>
      </c>
      <c r="E352" s="74"/>
      <c r="F352" s="19">
        <v>5.2</v>
      </c>
      <c r="G352" s="58">
        <v>47.9</v>
      </c>
      <c r="H352" s="59">
        <v>6.1</v>
      </c>
      <c r="I352" s="59">
        <v>32</v>
      </c>
      <c r="J352" s="75">
        <v>1.8</v>
      </c>
      <c r="K352" s="68">
        <v>0.1</v>
      </c>
      <c r="L352" s="18"/>
      <c r="M352" s="19">
        <f>20520/1000</f>
        <v>20.52</v>
      </c>
      <c r="N352" s="24" t="s">
        <v>134</v>
      </c>
    </row>
    <row r="353" spans="1:16" x14ac:dyDescent="0.25">
      <c r="A353" s="99"/>
      <c r="B353" s="24" t="s">
        <v>203</v>
      </c>
      <c r="C353" s="18" t="s">
        <v>384</v>
      </c>
      <c r="D353" s="74" t="s">
        <v>394</v>
      </c>
      <c r="E353" s="74" t="s">
        <v>395</v>
      </c>
      <c r="F353" s="25" t="s">
        <v>396</v>
      </c>
      <c r="G353" s="67" t="s">
        <v>397</v>
      </c>
      <c r="H353" s="75" t="s">
        <v>398</v>
      </c>
      <c r="I353" s="75" t="s">
        <v>399</v>
      </c>
      <c r="J353" s="59" t="s">
        <v>400</v>
      </c>
      <c r="K353" s="60">
        <v>0.01</v>
      </c>
      <c r="L353" s="21"/>
      <c r="M353" s="25" t="s">
        <v>393</v>
      </c>
      <c r="N353" s="24" t="s">
        <v>134</v>
      </c>
    </row>
    <row r="354" spans="1:16" x14ac:dyDescent="0.25">
      <c r="A354" s="99"/>
      <c r="B354" s="24" t="s">
        <v>204</v>
      </c>
      <c r="C354" s="18"/>
      <c r="D354" s="73">
        <v>82.41</v>
      </c>
      <c r="E354" s="74"/>
      <c r="F354" s="19">
        <v>0.37</v>
      </c>
      <c r="G354" s="58">
        <v>51.62</v>
      </c>
      <c r="H354" s="59">
        <v>5.97</v>
      </c>
      <c r="I354" s="59">
        <v>41.78</v>
      </c>
      <c r="J354" s="75">
        <v>0.25</v>
      </c>
      <c r="K354" s="68">
        <v>0.01</v>
      </c>
      <c r="L354" s="18"/>
      <c r="M354" s="19">
        <f>20500/1000</f>
        <v>20.5</v>
      </c>
      <c r="N354" s="24" t="s">
        <v>134</v>
      </c>
    </row>
    <row r="355" spans="1:16" x14ac:dyDescent="0.25">
      <c r="A355" s="99"/>
      <c r="B355" s="24" t="s">
        <v>205</v>
      </c>
      <c r="C355" s="21">
        <v>36.299999999999997</v>
      </c>
      <c r="D355" s="74">
        <v>73.010000000000005</v>
      </c>
      <c r="E355" s="74"/>
      <c r="F355" s="25">
        <v>5.95</v>
      </c>
      <c r="G355" s="67">
        <v>51.84</v>
      </c>
      <c r="H355" s="75">
        <v>7.14</v>
      </c>
      <c r="I355" s="75">
        <v>32.14</v>
      </c>
      <c r="J355" s="75">
        <v>2.79</v>
      </c>
      <c r="K355" s="68">
        <v>0.06</v>
      </c>
      <c r="L355" s="21"/>
      <c r="M355" s="25">
        <f>21350/1000</f>
        <v>21.35</v>
      </c>
      <c r="N355" s="24" t="s">
        <v>134</v>
      </c>
    </row>
    <row r="356" spans="1:16" x14ac:dyDescent="0.25">
      <c r="A356" s="99"/>
      <c r="B356" s="24" t="s">
        <v>206</v>
      </c>
      <c r="C356" s="21">
        <v>91.6</v>
      </c>
      <c r="D356" s="74">
        <v>70.2</v>
      </c>
      <c r="E356" s="74"/>
      <c r="F356" s="25">
        <v>8.9</v>
      </c>
      <c r="G356" s="67">
        <v>48.1</v>
      </c>
      <c r="H356" s="75">
        <v>6.2</v>
      </c>
      <c r="I356" s="75">
        <v>40.799999999999997</v>
      </c>
      <c r="J356" s="75">
        <v>4.2</v>
      </c>
      <c r="K356" s="68">
        <v>0.71</v>
      </c>
      <c r="L356" s="21"/>
      <c r="M356" s="25">
        <f>17800/1000</f>
        <v>17.8</v>
      </c>
      <c r="N356" s="24" t="s">
        <v>134</v>
      </c>
    </row>
    <row r="357" spans="1:16" x14ac:dyDescent="0.25">
      <c r="A357" s="99"/>
      <c r="B357" s="24" t="s">
        <v>728</v>
      </c>
      <c r="C357" s="21">
        <v>30.3</v>
      </c>
      <c r="D357" s="74">
        <v>54.6</v>
      </c>
      <c r="E357" s="74">
        <v>12.7</v>
      </c>
      <c r="F357" s="25">
        <v>2.2999999999999998</v>
      </c>
      <c r="G357" s="67">
        <v>52.4</v>
      </c>
      <c r="H357" s="75">
        <v>6</v>
      </c>
      <c r="I357" s="75">
        <v>41.2</v>
      </c>
      <c r="J357" s="75">
        <v>0.4</v>
      </c>
      <c r="K357" s="68">
        <v>0.04</v>
      </c>
      <c r="L357" s="21"/>
      <c r="M357" s="25"/>
      <c r="N357" s="24" t="s">
        <v>579</v>
      </c>
    </row>
    <row r="358" spans="1:16" x14ac:dyDescent="0.25">
      <c r="A358" s="99"/>
      <c r="B358" s="24" t="s">
        <v>729</v>
      </c>
      <c r="C358" s="21"/>
      <c r="D358" s="74">
        <v>78.5</v>
      </c>
      <c r="E358" s="74">
        <v>18.2</v>
      </c>
      <c r="F358" s="25">
        <v>3.3</v>
      </c>
      <c r="G358" s="67">
        <v>52.4</v>
      </c>
      <c r="H358" s="75">
        <v>6</v>
      </c>
      <c r="I358" s="75">
        <v>41.2</v>
      </c>
      <c r="J358" s="75">
        <v>0.4</v>
      </c>
      <c r="K358" s="68">
        <v>0.04</v>
      </c>
      <c r="L358" s="21"/>
      <c r="M358" s="25"/>
      <c r="N358" s="24" t="s">
        <v>579</v>
      </c>
    </row>
    <row r="359" spans="1:16" x14ac:dyDescent="0.25">
      <c r="A359" s="99"/>
      <c r="B359" s="24" t="s">
        <v>730</v>
      </c>
      <c r="C359" s="21">
        <v>22.7</v>
      </c>
      <c r="D359" s="74">
        <v>59.7</v>
      </c>
      <c r="E359" s="74">
        <v>12.3</v>
      </c>
      <c r="F359" s="25">
        <v>5.3</v>
      </c>
      <c r="G359" s="67">
        <v>50.9</v>
      </c>
      <c r="H359" s="75">
        <v>5.9</v>
      </c>
      <c r="I359" s="75">
        <v>42.5</v>
      </c>
      <c r="J359" s="75">
        <v>0.6</v>
      </c>
      <c r="K359" s="68">
        <v>0.08</v>
      </c>
      <c r="L359" s="21"/>
      <c r="M359" s="25"/>
      <c r="N359" s="24" t="s">
        <v>579</v>
      </c>
    </row>
    <row r="360" spans="1:16" x14ac:dyDescent="0.25">
      <c r="A360" s="99"/>
      <c r="B360" s="24" t="s">
        <v>731</v>
      </c>
      <c r="C360" s="21"/>
      <c r="D360" s="74">
        <v>77.2</v>
      </c>
      <c r="E360" s="74">
        <v>15.9</v>
      </c>
      <c r="F360" s="25">
        <v>6.9</v>
      </c>
      <c r="G360" s="67">
        <v>50.9</v>
      </c>
      <c r="H360" s="75">
        <v>5.9</v>
      </c>
      <c r="I360" s="75">
        <v>42.5</v>
      </c>
      <c r="J360" s="75">
        <v>0.6</v>
      </c>
      <c r="K360" s="68">
        <v>0.08</v>
      </c>
      <c r="L360" s="21"/>
      <c r="M360" s="25"/>
      <c r="N360" s="24" t="s">
        <v>579</v>
      </c>
    </row>
    <row r="361" spans="1:16" x14ac:dyDescent="0.25">
      <c r="A361" s="99"/>
      <c r="B361" s="24" t="s">
        <v>732</v>
      </c>
      <c r="C361" s="21">
        <v>7.3</v>
      </c>
      <c r="D361" s="74">
        <v>69.599999999999994</v>
      </c>
      <c r="E361" s="74">
        <v>15.5</v>
      </c>
      <c r="F361" s="25">
        <v>7.6</v>
      </c>
      <c r="G361" s="67">
        <v>51.7</v>
      </c>
      <c r="H361" s="75">
        <v>6.3</v>
      </c>
      <c r="I361" s="75">
        <v>41.5</v>
      </c>
      <c r="J361" s="75">
        <v>0.4</v>
      </c>
      <c r="K361" s="68">
        <v>0.13</v>
      </c>
      <c r="L361" s="21"/>
      <c r="M361" s="25"/>
      <c r="N361" s="24" t="s">
        <v>579</v>
      </c>
    </row>
    <row r="362" spans="1:16" x14ac:dyDescent="0.25">
      <c r="A362" s="99"/>
      <c r="B362" s="24" t="s">
        <v>733</v>
      </c>
      <c r="C362" s="21"/>
      <c r="D362" s="74">
        <v>75.099999999999994</v>
      </c>
      <c r="E362" s="74">
        <v>16.7</v>
      </c>
      <c r="F362" s="25">
        <v>8.1999999999999993</v>
      </c>
      <c r="G362" s="67">
        <v>51.7</v>
      </c>
      <c r="H362" s="75">
        <v>6.3</v>
      </c>
      <c r="I362" s="75">
        <v>41.5</v>
      </c>
      <c r="J362" s="75">
        <v>0.4</v>
      </c>
      <c r="K362" s="68">
        <v>0.13</v>
      </c>
      <c r="L362" s="21"/>
      <c r="M362" s="25"/>
      <c r="N362" s="24" t="s">
        <v>579</v>
      </c>
    </row>
    <row r="363" spans="1:16" x14ac:dyDescent="0.25">
      <c r="A363" s="99"/>
      <c r="B363" s="24" t="s">
        <v>2</v>
      </c>
      <c r="C363" s="21"/>
      <c r="D363" s="74">
        <v>87.6</v>
      </c>
      <c r="E363" s="74">
        <v>10.7</v>
      </c>
      <c r="F363" s="25">
        <v>1.7</v>
      </c>
      <c r="G363" s="67">
        <v>47.3</v>
      </c>
      <c r="H363" s="75">
        <v>6.8</v>
      </c>
      <c r="I363" s="75">
        <v>43.4</v>
      </c>
      <c r="J363" s="75">
        <v>0.8</v>
      </c>
      <c r="L363" s="21"/>
      <c r="M363" s="25"/>
      <c r="N363" s="24" t="s">
        <v>791</v>
      </c>
      <c r="P363" s="6" t="s">
        <v>941</v>
      </c>
    </row>
    <row r="364" spans="1:16" x14ac:dyDescent="0.25">
      <c r="A364" s="99"/>
      <c r="B364" s="24" t="s">
        <v>207</v>
      </c>
      <c r="C364" s="21">
        <v>91.8</v>
      </c>
      <c r="D364" s="74">
        <v>88.6</v>
      </c>
      <c r="E364" s="74"/>
      <c r="F364" s="25">
        <v>9.1</v>
      </c>
      <c r="G364" s="67">
        <v>44.9</v>
      </c>
      <c r="H364" s="75">
        <v>5.8</v>
      </c>
      <c r="I364" s="75">
        <v>46.3</v>
      </c>
      <c r="J364" s="75">
        <v>2.9</v>
      </c>
      <c r="K364" s="68">
        <v>0.09</v>
      </c>
      <c r="L364" s="21"/>
      <c r="M364" s="25">
        <f>16100/1000</f>
        <v>16.100000000000001</v>
      </c>
      <c r="N364" s="24" t="s">
        <v>134</v>
      </c>
    </row>
    <row r="365" spans="1:16" x14ac:dyDescent="0.25">
      <c r="A365" s="100"/>
      <c r="B365" s="51" t="s">
        <v>208</v>
      </c>
      <c r="C365" s="38">
        <v>94.2</v>
      </c>
      <c r="D365" s="35">
        <v>70.2</v>
      </c>
      <c r="E365" s="35"/>
      <c r="F365" s="36">
        <v>10</v>
      </c>
      <c r="G365" s="69">
        <v>44</v>
      </c>
      <c r="H365" s="70">
        <v>6.8</v>
      </c>
      <c r="I365" s="70">
        <v>46.1</v>
      </c>
      <c r="J365" s="70">
        <v>2.8</v>
      </c>
      <c r="K365" s="71">
        <v>0.22</v>
      </c>
      <c r="L365" s="38"/>
      <c r="M365" s="36">
        <f>16200/1000</f>
        <v>16.2</v>
      </c>
      <c r="N365" s="51" t="s">
        <v>134</v>
      </c>
    </row>
    <row r="366" spans="1:16" ht="14.45" customHeight="1" x14ac:dyDescent="0.25">
      <c r="A366" s="98" t="s">
        <v>209</v>
      </c>
      <c r="B366" s="50" t="s">
        <v>210</v>
      </c>
      <c r="C366" s="39">
        <v>4.8</v>
      </c>
      <c r="D366" s="30">
        <v>78.3</v>
      </c>
      <c r="E366" s="30"/>
      <c r="F366" s="31">
        <v>1.27</v>
      </c>
      <c r="G366" s="55">
        <v>46.5</v>
      </c>
      <c r="H366" s="56">
        <v>5.8</v>
      </c>
      <c r="I366" s="56">
        <v>41.4</v>
      </c>
      <c r="J366" s="56">
        <v>0.1</v>
      </c>
      <c r="K366" s="57">
        <v>0.01</v>
      </c>
      <c r="L366" s="39"/>
      <c r="M366" s="31">
        <f>19260/1000</f>
        <v>19.260000000000002</v>
      </c>
      <c r="N366" s="50" t="s">
        <v>134</v>
      </c>
    </row>
    <row r="367" spans="1:16" x14ac:dyDescent="0.25">
      <c r="A367" s="99"/>
      <c r="B367" s="24" t="s">
        <v>211</v>
      </c>
      <c r="C367" s="21">
        <v>16.399999999999999</v>
      </c>
      <c r="D367" s="74">
        <v>81</v>
      </c>
      <c r="E367" s="74"/>
      <c r="F367" s="25">
        <v>0.37</v>
      </c>
      <c r="G367" s="67">
        <v>48.6</v>
      </c>
      <c r="H367" s="75">
        <v>5.8</v>
      </c>
      <c r="I367" s="75">
        <v>43.2</v>
      </c>
      <c r="J367" s="75">
        <v>2.39</v>
      </c>
      <c r="K367" s="68">
        <v>3.56</v>
      </c>
      <c r="L367" s="21"/>
      <c r="M367" s="25">
        <f>15100/1000</f>
        <v>15.1</v>
      </c>
      <c r="N367" s="24" t="s">
        <v>134</v>
      </c>
    </row>
    <row r="368" spans="1:16" x14ac:dyDescent="0.25">
      <c r="A368" s="99"/>
      <c r="B368" s="24" t="s">
        <v>212</v>
      </c>
      <c r="C368" s="21"/>
      <c r="D368" s="74">
        <v>81.599999999999994</v>
      </c>
      <c r="E368" s="74"/>
      <c r="F368" s="25">
        <v>0.13</v>
      </c>
      <c r="L368" s="21"/>
      <c r="M368" s="25">
        <f>20581/1000</f>
        <v>20.581</v>
      </c>
      <c r="N368" s="24" t="s">
        <v>134</v>
      </c>
    </row>
    <row r="369" spans="1:16" x14ac:dyDescent="0.25">
      <c r="A369" s="99"/>
      <c r="B369" s="24" t="s">
        <v>213</v>
      </c>
      <c r="C369" s="21">
        <v>11.2</v>
      </c>
      <c r="D369" s="74">
        <v>81.8</v>
      </c>
      <c r="E369" s="74"/>
      <c r="F369" s="25">
        <v>0.41</v>
      </c>
      <c r="G369" s="67">
        <v>49.4</v>
      </c>
      <c r="H369" s="75">
        <v>5.84</v>
      </c>
      <c r="I369" s="75">
        <v>43.92</v>
      </c>
      <c r="J369" s="75">
        <v>0.43</v>
      </c>
      <c r="K369" s="68">
        <v>0.01</v>
      </c>
      <c r="L369" s="21"/>
      <c r="M369" s="25">
        <f>20160/1000</f>
        <v>20.16</v>
      </c>
      <c r="N369" s="24" t="s">
        <v>134</v>
      </c>
    </row>
    <row r="370" spans="1:16" x14ac:dyDescent="0.25">
      <c r="A370" s="99"/>
      <c r="B370" s="24" t="s">
        <v>214</v>
      </c>
      <c r="C370" s="21">
        <v>8.9</v>
      </c>
      <c r="D370" s="74">
        <v>81.2</v>
      </c>
      <c r="E370" s="74"/>
      <c r="F370" s="25">
        <v>0.54</v>
      </c>
      <c r="G370" s="67">
        <v>45.81</v>
      </c>
      <c r="H370" s="75">
        <v>5.85</v>
      </c>
      <c r="I370" s="75">
        <v>47.69</v>
      </c>
      <c r="J370" s="75">
        <v>0.1</v>
      </c>
      <c r="K370" s="68">
        <v>0.01</v>
      </c>
      <c r="L370" s="21"/>
      <c r="M370" s="25">
        <f>18090/1000</f>
        <v>18.09</v>
      </c>
      <c r="N370" s="24" t="s">
        <v>134</v>
      </c>
    </row>
    <row r="371" spans="1:16" x14ac:dyDescent="0.25">
      <c r="A371" s="99"/>
      <c r="B371" s="24" t="s">
        <v>215</v>
      </c>
      <c r="C371" s="21">
        <v>6.6</v>
      </c>
      <c r="D371" s="74">
        <v>84.66</v>
      </c>
      <c r="E371" s="74"/>
      <c r="F371" s="25">
        <v>0.43</v>
      </c>
      <c r="G371" s="67">
        <v>47.07</v>
      </c>
      <c r="H371" s="75">
        <v>6.15</v>
      </c>
      <c r="I371" s="75">
        <v>46.24</v>
      </c>
      <c r="J371" s="75">
        <v>0.1</v>
      </c>
      <c r="K371" s="68">
        <v>0.01</v>
      </c>
      <c r="L371" s="21"/>
      <c r="M371" s="25">
        <f>18480/1000</f>
        <v>18.48</v>
      </c>
      <c r="N371" s="24" t="s">
        <v>134</v>
      </c>
    </row>
    <row r="372" spans="1:16" x14ac:dyDescent="0.25">
      <c r="A372" s="99"/>
      <c r="B372" s="24" t="s">
        <v>216</v>
      </c>
      <c r="C372" s="21">
        <v>24.5</v>
      </c>
      <c r="D372" s="74">
        <v>81.5</v>
      </c>
      <c r="E372" s="74"/>
      <c r="F372" s="25">
        <v>1.45</v>
      </c>
      <c r="G372" s="67">
        <v>49.88</v>
      </c>
      <c r="H372" s="75">
        <v>5.8</v>
      </c>
      <c r="I372" s="75">
        <v>41.79</v>
      </c>
      <c r="J372" s="75">
        <v>1.06</v>
      </c>
      <c r="K372" s="68">
        <v>0.02</v>
      </c>
      <c r="L372" s="21"/>
      <c r="M372" s="25">
        <f>19140/1000</f>
        <v>19.14</v>
      </c>
      <c r="N372" s="24" t="s">
        <v>134</v>
      </c>
    </row>
    <row r="373" spans="1:16" x14ac:dyDescent="0.25">
      <c r="A373" s="99"/>
      <c r="B373" s="24" t="s">
        <v>517</v>
      </c>
      <c r="C373" s="21">
        <v>11.43</v>
      </c>
      <c r="D373" s="74">
        <v>70.97</v>
      </c>
      <c r="E373" s="74">
        <v>17.09</v>
      </c>
      <c r="F373" s="25">
        <v>0.51</v>
      </c>
      <c r="G373" s="67">
        <v>42.69</v>
      </c>
      <c r="H373" s="75">
        <v>6.31</v>
      </c>
      <c r="I373" s="75">
        <v>50.37</v>
      </c>
      <c r="J373" s="75">
        <v>0.12</v>
      </c>
      <c r="L373" s="21"/>
      <c r="M373" s="25">
        <v>19.98</v>
      </c>
      <c r="N373" s="24" t="s">
        <v>309</v>
      </c>
      <c r="P373" s="6" t="s">
        <v>518</v>
      </c>
    </row>
    <row r="374" spans="1:16" x14ac:dyDescent="0.25">
      <c r="A374" s="99"/>
      <c r="B374" s="24" t="s">
        <v>937</v>
      </c>
      <c r="C374" s="21"/>
      <c r="D374" s="74">
        <v>83.83</v>
      </c>
      <c r="E374" s="74">
        <v>14.7</v>
      </c>
      <c r="F374" s="25">
        <v>1.48</v>
      </c>
      <c r="G374" s="67">
        <v>50.83</v>
      </c>
      <c r="H374" s="75">
        <v>5.73</v>
      </c>
      <c r="I374" s="75">
        <v>41.82</v>
      </c>
      <c r="J374" s="75">
        <v>0.12</v>
      </c>
      <c r="L374" s="21"/>
      <c r="M374" s="25">
        <v>18.149999999999999</v>
      </c>
      <c r="N374" s="24" t="s">
        <v>791</v>
      </c>
      <c r="P374" s="6" t="s">
        <v>798</v>
      </c>
    </row>
    <row r="375" spans="1:16" x14ac:dyDescent="0.25">
      <c r="A375" s="99"/>
      <c r="B375" s="24" t="s">
        <v>940</v>
      </c>
      <c r="C375" s="21"/>
      <c r="D375" s="74">
        <v>69.849999999999994</v>
      </c>
      <c r="E375" s="74">
        <v>16.47</v>
      </c>
      <c r="F375" s="25">
        <v>13.68</v>
      </c>
      <c r="G375" s="67">
        <v>41.38</v>
      </c>
      <c r="H375" s="75">
        <v>5.0999999999999996</v>
      </c>
      <c r="I375" s="75">
        <v>35.19</v>
      </c>
      <c r="J375" s="75">
        <v>3.04</v>
      </c>
      <c r="L375" s="21"/>
      <c r="M375" s="25">
        <v>16.2</v>
      </c>
      <c r="N375" s="24" t="s">
        <v>791</v>
      </c>
      <c r="P375" s="6" t="s">
        <v>500</v>
      </c>
    </row>
    <row r="376" spans="1:16" x14ac:dyDescent="0.25">
      <c r="A376" s="99"/>
      <c r="B376" s="24" t="s">
        <v>924</v>
      </c>
      <c r="C376" s="21"/>
      <c r="D376" s="74">
        <v>98.06</v>
      </c>
      <c r="E376" s="74">
        <v>0.11</v>
      </c>
      <c r="F376" s="25">
        <v>1.83</v>
      </c>
      <c r="G376" s="67">
        <v>46.06</v>
      </c>
      <c r="H376" s="75">
        <v>5.96</v>
      </c>
      <c r="I376" s="75">
        <v>46.17</v>
      </c>
      <c r="J376" s="75">
        <v>0.21</v>
      </c>
      <c r="L376" s="21"/>
      <c r="M376" s="25">
        <v>16</v>
      </c>
      <c r="N376" s="24" t="s">
        <v>791</v>
      </c>
      <c r="P376" s="6" t="s">
        <v>848</v>
      </c>
    </row>
    <row r="377" spans="1:16" x14ac:dyDescent="0.25">
      <c r="A377" s="99"/>
      <c r="B377" s="24" t="s">
        <v>506</v>
      </c>
      <c r="C377" s="18">
        <v>4.4000000000000004</v>
      </c>
      <c r="D377" s="73">
        <v>84</v>
      </c>
      <c r="E377" s="74"/>
      <c r="F377" s="19">
        <v>0.7</v>
      </c>
      <c r="G377" s="58">
        <v>49.9</v>
      </c>
      <c r="H377" s="59">
        <v>5.6</v>
      </c>
      <c r="I377" s="59">
        <v>44.3</v>
      </c>
      <c r="J377" s="59">
        <v>0.2</v>
      </c>
      <c r="K377" s="60">
        <v>0</v>
      </c>
      <c r="L377" s="18"/>
      <c r="M377" s="19">
        <v>17</v>
      </c>
      <c r="N377" s="24" t="s">
        <v>309</v>
      </c>
    </row>
    <row r="378" spans="1:16" x14ac:dyDescent="0.25">
      <c r="A378" s="99"/>
      <c r="B378" s="24" t="s">
        <v>625</v>
      </c>
      <c r="C378" s="18">
        <v>34.9</v>
      </c>
      <c r="D378" s="73">
        <v>55.1</v>
      </c>
      <c r="E378" s="74">
        <v>9.3000000000000007</v>
      </c>
      <c r="F378" s="19">
        <v>0.7</v>
      </c>
      <c r="G378" s="58">
        <v>49.8</v>
      </c>
      <c r="H378" s="59">
        <v>6</v>
      </c>
      <c r="I378" s="59">
        <v>43.7</v>
      </c>
      <c r="J378" s="59">
        <v>0.5</v>
      </c>
      <c r="K378" s="60">
        <v>0.02</v>
      </c>
      <c r="L378" s="18"/>
      <c r="M378" s="19"/>
      <c r="N378" s="24" t="s">
        <v>579</v>
      </c>
    </row>
    <row r="379" spans="1:16" x14ac:dyDescent="0.25">
      <c r="A379" s="99"/>
      <c r="B379" s="24" t="s">
        <v>626</v>
      </c>
      <c r="C379" s="18"/>
      <c r="D379" s="73">
        <v>84.6</v>
      </c>
      <c r="E379" s="74">
        <v>14.3</v>
      </c>
      <c r="F379" s="19">
        <v>1.1000000000000001</v>
      </c>
      <c r="G379" s="58">
        <v>49.8</v>
      </c>
      <c r="H379" s="59">
        <v>6</v>
      </c>
      <c r="I379" s="59">
        <v>43.7</v>
      </c>
      <c r="J379" s="59">
        <v>0.5</v>
      </c>
      <c r="K379" s="60">
        <v>0.02</v>
      </c>
      <c r="L379" s="18"/>
      <c r="M379" s="19"/>
      <c r="N379" s="24" t="s">
        <v>579</v>
      </c>
    </row>
    <row r="380" spans="1:16" x14ac:dyDescent="0.25">
      <c r="A380" s="99"/>
      <c r="B380" s="24" t="s">
        <v>610</v>
      </c>
      <c r="C380" s="18">
        <v>11.5</v>
      </c>
      <c r="D380" s="73">
        <v>76.3</v>
      </c>
      <c r="E380" s="74">
        <v>11.9</v>
      </c>
      <c r="F380" s="19">
        <v>0.3</v>
      </c>
      <c r="G380" s="58">
        <v>50.1</v>
      </c>
      <c r="H380" s="59">
        <v>5.9</v>
      </c>
      <c r="I380" s="59">
        <v>43.9</v>
      </c>
      <c r="J380" s="59">
        <v>0.1</v>
      </c>
      <c r="K380" s="60">
        <v>0.01</v>
      </c>
      <c r="L380" s="18"/>
      <c r="M380" s="19"/>
      <c r="N380" s="24" t="s">
        <v>579</v>
      </c>
    </row>
    <row r="381" spans="1:16" x14ac:dyDescent="0.25">
      <c r="A381" s="99"/>
      <c r="B381" s="24" t="s">
        <v>611</v>
      </c>
      <c r="C381" s="18"/>
      <c r="D381" s="73">
        <v>86.3</v>
      </c>
      <c r="E381" s="74">
        <v>13.4</v>
      </c>
      <c r="F381" s="19">
        <v>0.3</v>
      </c>
      <c r="G381" s="58">
        <v>50.1</v>
      </c>
      <c r="H381" s="59">
        <v>5.9</v>
      </c>
      <c r="I381" s="59">
        <v>43.9</v>
      </c>
      <c r="J381" s="59">
        <v>0.1</v>
      </c>
      <c r="K381" s="60">
        <v>0.01</v>
      </c>
      <c r="L381" s="18"/>
      <c r="M381" s="19"/>
      <c r="N381" s="24" t="s">
        <v>579</v>
      </c>
    </row>
    <row r="382" spans="1:16" x14ac:dyDescent="0.25">
      <c r="A382" s="99"/>
      <c r="B382" s="24" t="s">
        <v>620</v>
      </c>
      <c r="C382" s="18">
        <v>15.3</v>
      </c>
      <c r="D382" s="73">
        <v>70.400000000000006</v>
      </c>
      <c r="E382" s="74">
        <v>14.2</v>
      </c>
      <c r="F382" s="19">
        <v>0.1</v>
      </c>
      <c r="G382" s="58">
        <v>51</v>
      </c>
      <c r="H382" s="59">
        <v>6</v>
      </c>
      <c r="I382" s="59">
        <v>42.9</v>
      </c>
      <c r="J382" s="59">
        <v>0.1</v>
      </c>
      <c r="K382" s="60">
        <v>0.01</v>
      </c>
      <c r="L382" s="18"/>
      <c r="M382" s="19"/>
      <c r="N382" s="24" t="s">
        <v>579</v>
      </c>
    </row>
    <row r="383" spans="1:16" x14ac:dyDescent="0.25">
      <c r="A383" s="99"/>
      <c r="B383" s="24" t="s">
        <v>621</v>
      </c>
      <c r="C383" s="18"/>
      <c r="D383" s="73">
        <v>83.1</v>
      </c>
      <c r="E383" s="74">
        <v>16.8</v>
      </c>
      <c r="F383" s="19">
        <v>0.1</v>
      </c>
      <c r="G383" s="58">
        <v>51</v>
      </c>
      <c r="H383" s="59">
        <v>6</v>
      </c>
      <c r="I383" s="59">
        <v>42.9</v>
      </c>
      <c r="J383" s="59">
        <v>0.1</v>
      </c>
      <c r="K383" s="60">
        <v>0.01</v>
      </c>
      <c r="L383" s="18"/>
      <c r="M383" s="19"/>
      <c r="N383" s="24" t="s">
        <v>579</v>
      </c>
    </row>
    <row r="384" spans="1:16" x14ac:dyDescent="0.25">
      <c r="A384" s="99"/>
      <c r="B384" s="24" t="s">
        <v>935</v>
      </c>
      <c r="C384" s="18"/>
      <c r="D384" s="73">
        <v>83.46</v>
      </c>
      <c r="E384" s="74">
        <v>15.55</v>
      </c>
      <c r="F384" s="19">
        <v>1</v>
      </c>
      <c r="G384" s="58">
        <v>50.28</v>
      </c>
      <c r="H384" s="59">
        <v>5.99</v>
      </c>
      <c r="I384" s="59">
        <v>43.29</v>
      </c>
      <c r="J384" s="59">
        <v>0.11</v>
      </c>
      <c r="K384" s="60"/>
      <c r="L384" s="18"/>
      <c r="M384" s="19"/>
      <c r="N384" s="24" t="s">
        <v>791</v>
      </c>
      <c r="P384" s="6" t="s">
        <v>798</v>
      </c>
    </row>
    <row r="385" spans="1:16" x14ac:dyDescent="0.25">
      <c r="A385" s="99"/>
      <c r="B385" s="24" t="s">
        <v>503</v>
      </c>
      <c r="C385" s="21">
        <v>12.1</v>
      </c>
      <c r="D385" s="74">
        <v>77.7</v>
      </c>
      <c r="E385" s="74">
        <v>19.649999999999999</v>
      </c>
      <c r="F385" s="25">
        <v>2.65</v>
      </c>
      <c r="G385" s="67">
        <v>45.8</v>
      </c>
      <c r="H385" s="75">
        <v>6</v>
      </c>
      <c r="I385" s="75">
        <v>47.9</v>
      </c>
      <c r="J385" s="75">
        <v>0.3</v>
      </c>
      <c r="L385" s="21">
        <v>15.02</v>
      </c>
      <c r="M385" s="25"/>
      <c r="N385" s="24" t="s">
        <v>309</v>
      </c>
    </row>
    <row r="386" spans="1:16" x14ac:dyDescent="0.25">
      <c r="A386" s="99"/>
      <c r="B386" s="24" t="s">
        <v>502</v>
      </c>
      <c r="C386" s="21">
        <v>50</v>
      </c>
      <c r="D386" s="74">
        <v>82</v>
      </c>
      <c r="E386" s="74">
        <v>18.5</v>
      </c>
      <c r="F386" s="25">
        <v>0.5</v>
      </c>
      <c r="G386" s="67">
        <v>50.4</v>
      </c>
      <c r="H386" s="75">
        <v>6</v>
      </c>
      <c r="I386" s="75">
        <v>43</v>
      </c>
      <c r="J386" s="75">
        <v>0.1</v>
      </c>
      <c r="L386" s="21"/>
      <c r="M386" s="25">
        <v>20.2</v>
      </c>
      <c r="N386" s="24" t="s">
        <v>309</v>
      </c>
      <c r="P386" s="6" t="s">
        <v>500</v>
      </c>
    </row>
    <row r="387" spans="1:16" x14ac:dyDescent="0.25">
      <c r="A387" s="99"/>
      <c r="B387" s="24" t="s">
        <v>616</v>
      </c>
      <c r="C387" s="21">
        <v>7.6</v>
      </c>
      <c r="D387" s="74">
        <v>66.900000000000006</v>
      </c>
      <c r="E387" s="74">
        <v>20</v>
      </c>
      <c r="F387" s="25">
        <v>5.5</v>
      </c>
      <c r="G387" s="67">
        <v>52.8</v>
      </c>
      <c r="H387" s="75">
        <v>6.1</v>
      </c>
      <c r="I387" s="75">
        <v>40.5</v>
      </c>
      <c r="J387" s="75">
        <v>0.5</v>
      </c>
      <c r="K387" s="68">
        <v>0.09</v>
      </c>
      <c r="L387" s="21"/>
      <c r="M387" s="25"/>
      <c r="N387" s="24" t="s">
        <v>579</v>
      </c>
    </row>
    <row r="388" spans="1:16" x14ac:dyDescent="0.25">
      <c r="A388" s="99"/>
      <c r="B388" s="24" t="s">
        <v>617</v>
      </c>
      <c r="C388" s="21"/>
      <c r="D388" s="74">
        <v>72.400000000000006</v>
      </c>
      <c r="E388" s="74">
        <v>21.6</v>
      </c>
      <c r="F388" s="25">
        <v>6</v>
      </c>
      <c r="G388" s="67">
        <v>52.8</v>
      </c>
      <c r="H388" s="75">
        <v>6.1</v>
      </c>
      <c r="I388" s="75">
        <v>40.5</v>
      </c>
      <c r="J388" s="75">
        <v>0.5</v>
      </c>
      <c r="K388" s="68">
        <v>0.09</v>
      </c>
      <c r="L388" s="21"/>
      <c r="M388" s="25"/>
      <c r="N388" s="24" t="s">
        <v>579</v>
      </c>
    </row>
    <row r="389" spans="1:16" x14ac:dyDescent="0.25">
      <c r="A389" s="99"/>
      <c r="B389" s="24" t="s">
        <v>514</v>
      </c>
      <c r="C389" s="21">
        <v>9.8000000000000007</v>
      </c>
      <c r="D389" s="74">
        <v>89.3</v>
      </c>
      <c r="E389" s="74"/>
      <c r="F389" s="25">
        <v>0.9</v>
      </c>
      <c r="G389" s="67">
        <v>55.8</v>
      </c>
      <c r="H389" s="75">
        <v>5.95</v>
      </c>
      <c r="I389" s="75">
        <v>37.799999999999997</v>
      </c>
      <c r="J389" s="75">
        <v>0.4</v>
      </c>
      <c r="K389" s="68">
        <v>0.05</v>
      </c>
      <c r="L389" s="21"/>
      <c r="M389" s="25">
        <v>16.600000000000001</v>
      </c>
      <c r="N389" s="24" t="s">
        <v>309</v>
      </c>
      <c r="P389" s="6" t="s">
        <v>131</v>
      </c>
    </row>
    <row r="390" spans="1:16" x14ac:dyDescent="0.25">
      <c r="A390" s="99"/>
      <c r="B390" s="24" t="s">
        <v>187</v>
      </c>
      <c r="C390" s="18"/>
      <c r="D390" s="73"/>
      <c r="E390" s="74"/>
      <c r="F390" s="19">
        <v>2.9</v>
      </c>
      <c r="G390" s="58"/>
      <c r="H390" s="59"/>
      <c r="I390" s="59"/>
      <c r="J390" s="59">
        <v>1</v>
      </c>
      <c r="K390" s="60">
        <v>0.15</v>
      </c>
      <c r="L390" s="18"/>
      <c r="M390" s="19"/>
      <c r="N390" s="24" t="s">
        <v>134</v>
      </c>
    </row>
    <row r="391" spans="1:16" x14ac:dyDescent="0.25">
      <c r="A391" s="99"/>
      <c r="B391" s="24" t="s">
        <v>188</v>
      </c>
      <c r="C391" s="18">
        <v>3.8</v>
      </c>
      <c r="D391" s="73">
        <v>72.599999999999994</v>
      </c>
      <c r="E391" s="74"/>
      <c r="F391" s="19">
        <v>1.7</v>
      </c>
      <c r="G391" s="58">
        <v>51.2</v>
      </c>
      <c r="H391" s="59">
        <v>6.7</v>
      </c>
      <c r="I391" s="59">
        <v>39.299999999999997</v>
      </c>
      <c r="J391" s="59">
        <v>1.1200000000000001</v>
      </c>
      <c r="K391" s="60"/>
      <c r="L391" s="18"/>
      <c r="M391" s="19">
        <f>19830/1000</f>
        <v>19.829999999999998</v>
      </c>
      <c r="N391" s="24" t="s">
        <v>134</v>
      </c>
    </row>
    <row r="392" spans="1:16" x14ac:dyDescent="0.25">
      <c r="A392" s="99"/>
      <c r="B392" s="24" t="s">
        <v>189</v>
      </c>
      <c r="C392" s="18"/>
      <c r="D392" s="73">
        <v>77.900000000000006</v>
      </c>
      <c r="E392" s="74"/>
      <c r="F392" s="19">
        <v>0.8</v>
      </c>
      <c r="G392" s="58">
        <v>48.5</v>
      </c>
      <c r="H392" s="59">
        <v>5.3</v>
      </c>
      <c r="I392" s="59">
        <v>44.7</v>
      </c>
      <c r="J392" s="59">
        <v>0.7</v>
      </c>
      <c r="K392" s="60"/>
      <c r="L392" s="18"/>
      <c r="M392" s="19">
        <f>19100/1000</f>
        <v>19.100000000000001</v>
      </c>
      <c r="N392" s="24" t="s">
        <v>134</v>
      </c>
    </row>
    <row r="393" spans="1:16" x14ac:dyDescent="0.25">
      <c r="A393" s="99"/>
      <c r="B393" s="24" t="s">
        <v>190</v>
      </c>
      <c r="C393" s="18"/>
      <c r="D393" s="73"/>
      <c r="E393" s="74"/>
      <c r="F393" s="19">
        <v>5.3</v>
      </c>
      <c r="G393" s="58">
        <v>44.5</v>
      </c>
      <c r="H393" s="59">
        <v>5.8</v>
      </c>
      <c r="I393" s="59"/>
      <c r="J393" s="59">
        <v>0.84</v>
      </c>
      <c r="K393" s="60">
        <v>0.02</v>
      </c>
      <c r="L393" s="18"/>
      <c r="M393" s="19">
        <f>17320/1000</f>
        <v>17.32</v>
      </c>
      <c r="N393" s="24" t="s">
        <v>134</v>
      </c>
    </row>
    <row r="394" spans="1:16" x14ac:dyDescent="0.25">
      <c r="A394" s="99"/>
      <c r="B394" s="24" t="s">
        <v>191</v>
      </c>
      <c r="C394" s="18"/>
      <c r="D394" s="73">
        <v>84.8</v>
      </c>
      <c r="E394" s="74"/>
      <c r="F394" s="19">
        <v>0.37</v>
      </c>
      <c r="G394" s="58">
        <v>52.11</v>
      </c>
      <c r="H394" s="59">
        <v>6.04</v>
      </c>
      <c r="I394" s="59">
        <v>40.909999999999997</v>
      </c>
      <c r="J394" s="59">
        <v>0.23</v>
      </c>
      <c r="K394" s="60"/>
      <c r="L394" s="18"/>
      <c r="M394" s="19"/>
      <c r="N394" s="24" t="s">
        <v>134</v>
      </c>
    </row>
    <row r="395" spans="1:16" x14ac:dyDescent="0.25">
      <c r="A395" s="99"/>
      <c r="B395" s="24" t="s">
        <v>192</v>
      </c>
      <c r="C395" s="18">
        <v>14.9</v>
      </c>
      <c r="D395" s="73">
        <v>80.8</v>
      </c>
      <c r="E395" s="74"/>
      <c r="F395" s="19">
        <v>1.55</v>
      </c>
      <c r="G395" s="58">
        <v>49.57</v>
      </c>
      <c r="H395" s="59">
        <v>5.96</v>
      </c>
      <c r="I395" s="59">
        <v>42.8</v>
      </c>
      <c r="J395" s="59">
        <v>0.1</v>
      </c>
      <c r="K395" s="60">
        <v>0.01</v>
      </c>
      <c r="L395" s="18"/>
      <c r="M395" s="19">
        <f>19060/1000</f>
        <v>19.059999999999999</v>
      </c>
      <c r="N395" s="24" t="s">
        <v>134</v>
      </c>
    </row>
    <row r="396" spans="1:16" x14ac:dyDescent="0.25">
      <c r="A396" s="99"/>
      <c r="B396" s="24" t="s">
        <v>193</v>
      </c>
      <c r="C396" s="18">
        <v>3.67</v>
      </c>
      <c r="D396" s="73">
        <v>77.8</v>
      </c>
      <c r="E396" s="74"/>
      <c r="F396" s="19">
        <v>1.42</v>
      </c>
      <c r="G396" s="58">
        <v>46.28</v>
      </c>
      <c r="H396" s="59">
        <v>6.28</v>
      </c>
      <c r="I396" s="59">
        <v>46.89</v>
      </c>
      <c r="J396" s="59">
        <v>0.54</v>
      </c>
      <c r="K396" s="60">
        <v>1.8499999999999999E-2</v>
      </c>
      <c r="L396" s="18"/>
      <c r="M396" s="19">
        <f>18950/1000</f>
        <v>18.95</v>
      </c>
      <c r="N396" s="24" t="s">
        <v>134</v>
      </c>
    </row>
    <row r="397" spans="1:16" x14ac:dyDescent="0.25">
      <c r="A397" s="99"/>
      <c r="B397" s="24" t="s">
        <v>618</v>
      </c>
      <c r="C397" s="21">
        <v>47.4</v>
      </c>
      <c r="D397" s="74">
        <v>43.3</v>
      </c>
      <c r="E397" s="74">
        <v>7.9</v>
      </c>
      <c r="F397" s="25">
        <v>1.4</v>
      </c>
      <c r="G397" s="67">
        <v>51.9</v>
      </c>
      <c r="H397" s="75">
        <v>6.3</v>
      </c>
      <c r="I397" s="75">
        <v>41.3</v>
      </c>
      <c r="J397" s="75">
        <v>0.5</v>
      </c>
      <c r="K397" s="68">
        <v>0.01</v>
      </c>
      <c r="L397" s="21"/>
      <c r="M397" s="25"/>
      <c r="N397" s="24" t="s">
        <v>579</v>
      </c>
    </row>
    <row r="398" spans="1:16" x14ac:dyDescent="0.25">
      <c r="A398" s="99"/>
      <c r="B398" s="24" t="s">
        <v>619</v>
      </c>
      <c r="C398" s="21"/>
      <c r="D398" s="74">
        <v>82.2</v>
      </c>
      <c r="E398" s="74">
        <v>15.1</v>
      </c>
      <c r="F398" s="25">
        <v>2.7</v>
      </c>
      <c r="G398" s="67">
        <v>51.9</v>
      </c>
      <c r="H398" s="75">
        <v>6.3</v>
      </c>
      <c r="I398" s="75">
        <v>41.3</v>
      </c>
      <c r="J398" s="75">
        <v>0.5</v>
      </c>
      <c r="K398" s="68">
        <v>0.01</v>
      </c>
      <c r="L398" s="21"/>
      <c r="M398" s="25"/>
      <c r="N398" s="24" t="s">
        <v>579</v>
      </c>
    </row>
    <row r="399" spans="1:16" x14ac:dyDescent="0.25">
      <c r="A399" s="99"/>
      <c r="B399" s="24" t="s">
        <v>633</v>
      </c>
      <c r="C399" s="21">
        <v>26.4</v>
      </c>
      <c r="D399" s="74">
        <v>57.4</v>
      </c>
      <c r="E399" s="74">
        <v>12.2</v>
      </c>
      <c r="F399" s="25">
        <v>4</v>
      </c>
      <c r="G399" s="67">
        <v>51.4</v>
      </c>
      <c r="H399" s="75">
        <v>6.1</v>
      </c>
      <c r="I399" s="75">
        <v>41.9</v>
      </c>
      <c r="J399" s="75">
        <v>0.5</v>
      </c>
      <c r="K399" s="68">
        <v>0.08</v>
      </c>
      <c r="L399" s="21"/>
      <c r="M399" s="25"/>
      <c r="N399" s="24" t="s">
        <v>579</v>
      </c>
    </row>
    <row r="400" spans="1:16" x14ac:dyDescent="0.25">
      <c r="A400" s="99"/>
      <c r="B400" s="24" t="s">
        <v>634</v>
      </c>
      <c r="C400" s="21"/>
      <c r="D400" s="74">
        <v>78</v>
      </c>
      <c r="E400" s="74">
        <v>16.600000000000001</v>
      </c>
      <c r="F400" s="25">
        <v>5.4</v>
      </c>
      <c r="G400" s="67">
        <v>51.4</v>
      </c>
      <c r="H400" s="75">
        <v>6.1</v>
      </c>
      <c r="I400" s="75">
        <v>41.9</v>
      </c>
      <c r="J400" s="75">
        <v>0.5</v>
      </c>
      <c r="K400" s="68">
        <v>0.08</v>
      </c>
      <c r="L400" s="21"/>
      <c r="M400" s="25"/>
      <c r="N400" s="24" t="s">
        <v>579</v>
      </c>
    </row>
    <row r="401" spans="1:14" x14ac:dyDescent="0.25">
      <c r="A401" s="99"/>
      <c r="B401" s="24" t="s">
        <v>604</v>
      </c>
      <c r="C401" s="21">
        <v>62.9</v>
      </c>
      <c r="D401" s="74">
        <v>30.4</v>
      </c>
      <c r="E401" s="74">
        <v>6.5</v>
      </c>
      <c r="F401" s="25">
        <v>0.2</v>
      </c>
      <c r="G401" s="67">
        <v>51.4</v>
      </c>
      <c r="H401" s="75">
        <v>6</v>
      </c>
      <c r="I401" s="75">
        <v>42.5</v>
      </c>
      <c r="J401" s="75">
        <v>0.1</v>
      </c>
      <c r="K401" s="68">
        <v>0.03</v>
      </c>
      <c r="L401" s="21"/>
      <c r="M401" s="25"/>
      <c r="N401" s="24" t="s">
        <v>579</v>
      </c>
    </row>
    <row r="402" spans="1:14" x14ac:dyDescent="0.25">
      <c r="A402" s="99"/>
      <c r="B402" s="24" t="s">
        <v>606</v>
      </c>
      <c r="C402" s="21"/>
      <c r="D402" s="74">
        <v>82</v>
      </c>
      <c r="E402" s="74">
        <v>17.5</v>
      </c>
      <c r="F402" s="25">
        <v>0.5</v>
      </c>
      <c r="G402" s="67">
        <v>51.4</v>
      </c>
      <c r="H402" s="75">
        <v>6</v>
      </c>
      <c r="I402" s="75">
        <v>42.5</v>
      </c>
      <c r="J402" s="75">
        <v>0.1</v>
      </c>
      <c r="K402" s="68">
        <v>0.03</v>
      </c>
      <c r="L402" s="21"/>
      <c r="M402" s="25"/>
      <c r="N402" s="24" t="s">
        <v>579</v>
      </c>
    </row>
    <row r="403" spans="1:14" x14ac:dyDescent="0.25">
      <c r="A403" s="99"/>
      <c r="B403" s="24" t="s">
        <v>605</v>
      </c>
      <c r="C403" s="21">
        <v>56.8</v>
      </c>
      <c r="D403" s="74">
        <v>34.5</v>
      </c>
      <c r="E403" s="74">
        <v>7.3</v>
      </c>
      <c r="F403" s="25">
        <v>1.4</v>
      </c>
      <c r="G403" s="67">
        <v>52.7</v>
      </c>
      <c r="H403" s="75">
        <v>5.4</v>
      </c>
      <c r="I403" s="75">
        <v>41.1</v>
      </c>
      <c r="J403" s="75">
        <v>0.7</v>
      </c>
      <c r="K403" s="68">
        <v>0.1</v>
      </c>
      <c r="L403" s="21"/>
      <c r="M403" s="25"/>
      <c r="N403" s="24" t="s">
        <v>579</v>
      </c>
    </row>
    <row r="404" spans="1:14" x14ac:dyDescent="0.25">
      <c r="A404" s="99"/>
      <c r="B404" s="24" t="s">
        <v>607</v>
      </c>
      <c r="C404" s="21"/>
      <c r="D404" s="74">
        <v>79.900000000000006</v>
      </c>
      <c r="E404" s="74">
        <v>16.899999999999999</v>
      </c>
      <c r="F404" s="25">
        <v>3.2</v>
      </c>
      <c r="G404" s="67">
        <v>52.7</v>
      </c>
      <c r="H404" s="75">
        <v>5.4</v>
      </c>
      <c r="I404" s="75">
        <v>41.1</v>
      </c>
      <c r="J404" s="75">
        <v>0.7</v>
      </c>
      <c r="K404" s="68">
        <v>0.1</v>
      </c>
      <c r="L404" s="21"/>
      <c r="M404" s="25"/>
      <c r="N404" s="24" t="s">
        <v>579</v>
      </c>
    </row>
    <row r="405" spans="1:14" x14ac:dyDescent="0.25">
      <c r="A405" s="99"/>
      <c r="B405" s="24" t="s">
        <v>577</v>
      </c>
      <c r="C405" s="21">
        <v>52.6</v>
      </c>
      <c r="D405" s="74">
        <v>36.299999999999997</v>
      </c>
      <c r="E405" s="74">
        <v>9.1</v>
      </c>
      <c r="F405" s="25">
        <v>2</v>
      </c>
      <c r="G405" s="67">
        <v>53.2</v>
      </c>
      <c r="H405" s="75">
        <v>6.1</v>
      </c>
      <c r="I405" s="75">
        <v>40.200000000000003</v>
      </c>
      <c r="J405" s="75">
        <v>0.5</v>
      </c>
      <c r="K405" s="68">
        <v>0.04</v>
      </c>
      <c r="L405" s="21"/>
      <c r="M405" s="25"/>
      <c r="N405" s="24" t="s">
        <v>579</v>
      </c>
    </row>
    <row r="406" spans="1:14" x14ac:dyDescent="0.25">
      <c r="A406" s="99"/>
      <c r="B406" s="24" t="s">
        <v>578</v>
      </c>
      <c r="C406" s="21"/>
      <c r="D406" s="74">
        <v>76.599999999999994</v>
      </c>
      <c r="E406" s="74">
        <v>19.2</v>
      </c>
      <c r="F406" s="25">
        <v>4.2</v>
      </c>
      <c r="G406" s="67">
        <v>53.2</v>
      </c>
      <c r="H406" s="75">
        <v>6.1</v>
      </c>
      <c r="I406" s="75">
        <v>40.200000000000003</v>
      </c>
      <c r="J406" s="75">
        <v>0.5</v>
      </c>
      <c r="K406" s="68">
        <v>0.04</v>
      </c>
      <c r="L406" s="21"/>
      <c r="M406" s="25"/>
      <c r="N406" s="24" t="s">
        <v>579</v>
      </c>
    </row>
    <row r="407" spans="1:14" x14ac:dyDescent="0.25">
      <c r="A407" s="99"/>
      <c r="B407" s="24" t="s">
        <v>580</v>
      </c>
      <c r="C407" s="21">
        <v>8.4</v>
      </c>
      <c r="D407" s="74">
        <v>70.900000000000006</v>
      </c>
      <c r="E407" s="74">
        <v>18.3</v>
      </c>
      <c r="F407" s="25">
        <v>2.4</v>
      </c>
      <c r="G407" s="67">
        <v>54</v>
      </c>
      <c r="H407" s="75">
        <v>6.2</v>
      </c>
      <c r="I407" s="75">
        <v>39.5</v>
      </c>
      <c r="J407" s="75">
        <v>0.2</v>
      </c>
      <c r="K407" s="68">
        <v>0.1</v>
      </c>
      <c r="L407" s="21"/>
      <c r="M407" s="25"/>
      <c r="N407" s="24" t="s">
        <v>579</v>
      </c>
    </row>
    <row r="408" spans="1:14" x14ac:dyDescent="0.25">
      <c r="A408" s="99"/>
      <c r="B408" s="24" t="s">
        <v>584</v>
      </c>
      <c r="C408" s="21"/>
      <c r="D408" s="74">
        <v>77.400000000000006</v>
      </c>
      <c r="E408" s="74">
        <v>20</v>
      </c>
      <c r="F408" s="25">
        <v>2.6</v>
      </c>
      <c r="G408" s="67">
        <v>54</v>
      </c>
      <c r="H408" s="75">
        <v>6.2</v>
      </c>
      <c r="I408" s="75">
        <v>39.5</v>
      </c>
      <c r="J408" s="75">
        <v>0.2</v>
      </c>
      <c r="K408" s="68">
        <v>0.1</v>
      </c>
      <c r="L408" s="21"/>
      <c r="M408" s="25"/>
      <c r="N408" s="24" t="s">
        <v>579</v>
      </c>
    </row>
    <row r="409" spans="1:14" x14ac:dyDescent="0.25">
      <c r="A409" s="99"/>
      <c r="B409" s="24" t="s">
        <v>581</v>
      </c>
      <c r="C409" s="21">
        <v>8.4</v>
      </c>
      <c r="D409" s="74">
        <v>67.5</v>
      </c>
      <c r="E409" s="74">
        <v>17</v>
      </c>
      <c r="F409" s="25">
        <v>7.1</v>
      </c>
      <c r="G409" s="67">
        <v>51.4</v>
      </c>
      <c r="H409" s="75">
        <v>6</v>
      </c>
      <c r="I409" s="75">
        <v>41.8</v>
      </c>
      <c r="J409" s="75">
        <v>0.7</v>
      </c>
      <c r="K409" s="68">
        <v>0.11</v>
      </c>
      <c r="L409" s="21"/>
      <c r="M409" s="25"/>
      <c r="N409" s="24" t="s">
        <v>579</v>
      </c>
    </row>
    <row r="410" spans="1:14" x14ac:dyDescent="0.25">
      <c r="A410" s="99"/>
      <c r="B410" s="24" t="s">
        <v>582</v>
      </c>
      <c r="C410" s="21"/>
      <c r="D410" s="74">
        <v>73.7</v>
      </c>
      <c r="E410" s="74">
        <v>18.5</v>
      </c>
      <c r="F410" s="25">
        <v>7.8</v>
      </c>
      <c r="G410" s="67">
        <v>51.4</v>
      </c>
      <c r="H410" s="75">
        <v>6</v>
      </c>
      <c r="I410" s="75">
        <v>41.8</v>
      </c>
      <c r="J410" s="75">
        <v>0.7</v>
      </c>
      <c r="K410" s="68">
        <v>0.11</v>
      </c>
      <c r="L410" s="21"/>
      <c r="M410" s="25"/>
      <c r="N410" s="24" t="s">
        <v>579</v>
      </c>
    </row>
    <row r="411" spans="1:14" x14ac:dyDescent="0.25">
      <c r="A411" s="99"/>
      <c r="B411" s="24" t="s">
        <v>583</v>
      </c>
      <c r="C411" s="21">
        <v>8.4</v>
      </c>
      <c r="D411" s="74">
        <v>71.900000000000006</v>
      </c>
      <c r="E411" s="74">
        <v>17.8</v>
      </c>
      <c r="F411" s="25">
        <v>1.9</v>
      </c>
      <c r="G411" s="67">
        <v>57</v>
      </c>
      <c r="H411" s="75">
        <v>6.7</v>
      </c>
      <c r="I411" s="75">
        <v>35.700000000000003</v>
      </c>
      <c r="J411" s="75">
        <v>0.5</v>
      </c>
      <c r="K411" s="68">
        <v>0.1</v>
      </c>
      <c r="L411" s="21"/>
      <c r="M411" s="25"/>
      <c r="N411" s="24" t="s">
        <v>579</v>
      </c>
    </row>
    <row r="412" spans="1:14" x14ac:dyDescent="0.25">
      <c r="A412" s="99"/>
      <c r="B412" s="24" t="s">
        <v>585</v>
      </c>
      <c r="C412" s="21"/>
      <c r="D412" s="74">
        <v>78.5</v>
      </c>
      <c r="E412" s="74">
        <v>19.399999999999999</v>
      </c>
      <c r="F412" s="25">
        <v>2.1</v>
      </c>
      <c r="G412" s="67">
        <v>57</v>
      </c>
      <c r="H412" s="75">
        <v>6.7</v>
      </c>
      <c r="I412" s="75">
        <v>35.700000000000003</v>
      </c>
      <c r="J412" s="75">
        <v>0.5</v>
      </c>
      <c r="K412" s="68">
        <v>0.1</v>
      </c>
      <c r="L412" s="21"/>
      <c r="M412" s="25"/>
      <c r="N412" s="24" t="s">
        <v>579</v>
      </c>
    </row>
    <row r="413" spans="1:14" x14ac:dyDescent="0.25">
      <c r="A413" s="99"/>
      <c r="B413" s="24" t="s">
        <v>586</v>
      </c>
      <c r="C413" s="21">
        <v>8.4</v>
      </c>
      <c r="D413" s="74">
        <v>67</v>
      </c>
      <c r="E413" s="74">
        <v>17.2</v>
      </c>
      <c r="F413" s="25">
        <v>7.4</v>
      </c>
      <c r="G413" s="67">
        <v>50.9</v>
      </c>
      <c r="H413" s="75">
        <v>5.8</v>
      </c>
      <c r="I413" s="75">
        <v>42.5</v>
      </c>
      <c r="J413" s="75">
        <v>0.7</v>
      </c>
      <c r="K413" s="68">
        <v>0.11</v>
      </c>
      <c r="L413" s="21"/>
      <c r="M413" s="25"/>
      <c r="N413" s="24" t="s">
        <v>579</v>
      </c>
    </row>
    <row r="414" spans="1:14" x14ac:dyDescent="0.25">
      <c r="A414" s="99"/>
      <c r="B414" s="24" t="s">
        <v>587</v>
      </c>
      <c r="C414" s="21"/>
      <c r="D414" s="74">
        <v>73.099999999999994</v>
      </c>
      <c r="E414" s="74">
        <v>18.8</v>
      </c>
      <c r="F414" s="25">
        <v>8.1</v>
      </c>
      <c r="G414" s="67">
        <v>50.9</v>
      </c>
      <c r="H414" s="75">
        <v>5.8</v>
      </c>
      <c r="I414" s="75">
        <v>42.5</v>
      </c>
      <c r="J414" s="75">
        <v>0.7</v>
      </c>
      <c r="K414" s="68">
        <v>0.11</v>
      </c>
      <c r="L414" s="21"/>
      <c r="M414" s="25"/>
      <c r="N414" s="24" t="s">
        <v>579</v>
      </c>
    </row>
    <row r="415" spans="1:14" x14ac:dyDescent="0.25">
      <c r="A415" s="99"/>
      <c r="B415" s="24" t="s">
        <v>588</v>
      </c>
      <c r="C415" s="21">
        <v>12</v>
      </c>
      <c r="D415" s="74">
        <v>68.7</v>
      </c>
      <c r="E415" s="74">
        <v>15.1</v>
      </c>
      <c r="F415" s="25">
        <v>4.2</v>
      </c>
      <c r="G415" s="67">
        <v>48.7</v>
      </c>
      <c r="H415" s="75">
        <v>5.7</v>
      </c>
      <c r="I415" s="75">
        <v>45.3</v>
      </c>
      <c r="J415" s="75">
        <v>0.3</v>
      </c>
      <c r="K415" s="68">
        <v>0.05</v>
      </c>
      <c r="L415" s="21"/>
      <c r="M415" s="25"/>
      <c r="N415" s="24" t="s">
        <v>579</v>
      </c>
    </row>
    <row r="416" spans="1:14" x14ac:dyDescent="0.25">
      <c r="A416" s="99"/>
      <c r="B416" s="24" t="s">
        <v>589</v>
      </c>
      <c r="C416" s="21"/>
      <c r="D416" s="74">
        <v>78</v>
      </c>
      <c r="E416" s="74">
        <v>17.2</v>
      </c>
      <c r="F416" s="25">
        <v>4.8</v>
      </c>
      <c r="G416" s="67">
        <v>48.7</v>
      </c>
      <c r="H416" s="75">
        <v>5.7</v>
      </c>
      <c r="I416" s="75">
        <v>45.3</v>
      </c>
      <c r="J416" s="75">
        <v>0.3</v>
      </c>
      <c r="K416" s="68">
        <v>0.05</v>
      </c>
      <c r="L416" s="21"/>
      <c r="M416" s="25"/>
      <c r="N416" s="24" t="s">
        <v>579</v>
      </c>
    </row>
    <row r="417" spans="1:16" x14ac:dyDescent="0.25">
      <c r="A417" s="99"/>
      <c r="B417" s="24" t="s">
        <v>590</v>
      </c>
      <c r="C417" s="21">
        <v>8.4</v>
      </c>
      <c r="D417" s="74">
        <v>65.900000000000006</v>
      </c>
      <c r="E417" s="74">
        <v>23.4</v>
      </c>
      <c r="F417" s="25">
        <v>2.2999999999999998</v>
      </c>
      <c r="G417" s="67">
        <v>55</v>
      </c>
      <c r="H417" s="75">
        <v>5.9</v>
      </c>
      <c r="I417" s="75">
        <v>38.799999999999997</v>
      </c>
      <c r="J417" s="75">
        <v>0.2</v>
      </c>
      <c r="K417" s="68">
        <v>0.1</v>
      </c>
      <c r="L417" s="21"/>
      <c r="M417" s="25"/>
      <c r="N417" s="24" t="s">
        <v>579</v>
      </c>
    </row>
    <row r="418" spans="1:16" x14ac:dyDescent="0.25">
      <c r="A418" s="99"/>
      <c r="B418" s="24" t="s">
        <v>591</v>
      </c>
      <c r="C418" s="21"/>
      <c r="D418" s="74">
        <v>72</v>
      </c>
      <c r="E418" s="74">
        <v>25.5</v>
      </c>
      <c r="F418" s="25">
        <v>2.5</v>
      </c>
      <c r="G418" s="67">
        <v>55</v>
      </c>
      <c r="H418" s="75">
        <v>5.9</v>
      </c>
      <c r="I418" s="75">
        <v>38.799999999999997</v>
      </c>
      <c r="J418" s="75">
        <v>0.2</v>
      </c>
      <c r="K418" s="68">
        <v>0.1</v>
      </c>
      <c r="L418" s="21"/>
      <c r="M418" s="25"/>
      <c r="N418" s="24" t="s">
        <v>579</v>
      </c>
    </row>
    <row r="419" spans="1:16" x14ac:dyDescent="0.25">
      <c r="A419" s="99"/>
      <c r="B419" s="24" t="s">
        <v>592</v>
      </c>
      <c r="C419" s="21">
        <v>8.4</v>
      </c>
      <c r="D419" s="74">
        <v>70.099999999999994</v>
      </c>
      <c r="E419" s="74">
        <v>17.8</v>
      </c>
      <c r="F419" s="25">
        <v>3.7</v>
      </c>
      <c r="G419" s="67">
        <v>52</v>
      </c>
      <c r="H419" s="75">
        <v>6.2</v>
      </c>
      <c r="I419" s="75">
        <v>41.3</v>
      </c>
      <c r="J419" s="75">
        <v>0.4</v>
      </c>
      <c r="K419" s="68">
        <v>0.11</v>
      </c>
      <c r="L419" s="21"/>
      <c r="M419" s="25"/>
      <c r="N419" s="24" t="s">
        <v>579</v>
      </c>
    </row>
    <row r="420" spans="1:16" x14ac:dyDescent="0.25">
      <c r="A420" s="99"/>
      <c r="B420" s="24" t="s">
        <v>593</v>
      </c>
      <c r="C420" s="21"/>
      <c r="D420" s="74">
        <v>76.599999999999994</v>
      </c>
      <c r="E420" s="74">
        <v>19.399999999999999</v>
      </c>
      <c r="F420" s="25">
        <v>4</v>
      </c>
      <c r="G420" s="67">
        <v>52</v>
      </c>
      <c r="H420" s="75">
        <v>6.2</v>
      </c>
      <c r="I420" s="75">
        <v>41.3</v>
      </c>
      <c r="J420" s="75">
        <v>0.4</v>
      </c>
      <c r="K420" s="68">
        <v>0.11</v>
      </c>
      <c r="L420" s="21"/>
      <c r="M420" s="25"/>
      <c r="N420" s="24" t="s">
        <v>579</v>
      </c>
    </row>
    <row r="421" spans="1:16" x14ac:dyDescent="0.25">
      <c r="A421" s="99"/>
      <c r="B421" s="24" t="s">
        <v>594</v>
      </c>
      <c r="C421" s="21">
        <v>4.7</v>
      </c>
      <c r="D421" s="74">
        <v>70.2</v>
      </c>
      <c r="E421" s="74">
        <v>23.3</v>
      </c>
      <c r="F421" s="25">
        <v>1.8</v>
      </c>
      <c r="G421" s="67">
        <v>53.8</v>
      </c>
      <c r="H421" s="75">
        <v>5.9</v>
      </c>
      <c r="I421" s="75">
        <v>39.9</v>
      </c>
      <c r="J421" s="75">
        <v>0.3</v>
      </c>
      <c r="K421" s="68">
        <v>7.0000000000000007E-2</v>
      </c>
      <c r="L421" s="21"/>
      <c r="M421" s="25"/>
      <c r="N421" s="24" t="s">
        <v>579</v>
      </c>
    </row>
    <row r="422" spans="1:16" x14ac:dyDescent="0.25">
      <c r="A422" s="99"/>
      <c r="B422" s="24" t="s">
        <v>595</v>
      </c>
      <c r="C422" s="21"/>
      <c r="D422" s="74">
        <v>73.7</v>
      </c>
      <c r="E422" s="74">
        <v>24.4</v>
      </c>
      <c r="F422" s="25">
        <v>1.9</v>
      </c>
      <c r="G422" s="67">
        <v>53.8</v>
      </c>
      <c r="H422" s="75">
        <v>5.9</v>
      </c>
      <c r="I422" s="75">
        <v>39.9</v>
      </c>
      <c r="J422" s="75">
        <v>0.3</v>
      </c>
      <c r="K422" s="68">
        <v>7.0000000000000007E-2</v>
      </c>
      <c r="L422" s="21"/>
      <c r="M422" s="25"/>
      <c r="N422" s="24" t="s">
        <v>579</v>
      </c>
    </row>
    <row r="423" spans="1:16" x14ac:dyDescent="0.25">
      <c r="A423" s="99"/>
      <c r="B423" s="24" t="s">
        <v>596</v>
      </c>
      <c r="C423" s="21">
        <v>8.4</v>
      </c>
      <c r="D423" s="74">
        <v>73.599999999999994</v>
      </c>
      <c r="E423" s="74">
        <v>16</v>
      </c>
      <c r="F423" s="25">
        <v>2</v>
      </c>
      <c r="G423" s="67">
        <v>53.6</v>
      </c>
      <c r="H423" s="75">
        <v>6.7</v>
      </c>
      <c r="I423" s="75">
        <v>39.299999999999997</v>
      </c>
      <c r="J423" s="75">
        <v>0.3</v>
      </c>
      <c r="K423" s="68">
        <v>0.1</v>
      </c>
      <c r="L423" s="21"/>
      <c r="M423" s="25"/>
      <c r="N423" s="24" t="s">
        <v>579</v>
      </c>
    </row>
    <row r="424" spans="1:16" x14ac:dyDescent="0.25">
      <c r="A424" s="99"/>
      <c r="B424" s="24" t="s">
        <v>597</v>
      </c>
      <c r="C424" s="21"/>
      <c r="D424" s="74">
        <v>80.3</v>
      </c>
      <c r="E424" s="74">
        <v>17.5</v>
      </c>
      <c r="F424" s="25">
        <v>2.2000000000000002</v>
      </c>
      <c r="G424" s="67">
        <v>53.6</v>
      </c>
      <c r="H424" s="75">
        <v>6.7</v>
      </c>
      <c r="I424" s="75">
        <v>39.299999999999997</v>
      </c>
      <c r="J424" s="75">
        <v>0.3</v>
      </c>
      <c r="K424" s="68">
        <v>0.1</v>
      </c>
      <c r="L424" s="21"/>
      <c r="M424" s="25"/>
      <c r="N424" s="24" t="s">
        <v>579</v>
      </c>
    </row>
    <row r="425" spans="1:16" x14ac:dyDescent="0.25">
      <c r="A425" s="99"/>
      <c r="B425" s="24" t="s">
        <v>936</v>
      </c>
      <c r="C425" s="21"/>
      <c r="D425" s="74">
        <v>82</v>
      </c>
      <c r="E425" s="74">
        <v>13.67</v>
      </c>
      <c r="F425" s="25">
        <v>4.53</v>
      </c>
      <c r="G425" s="67">
        <v>47.84</v>
      </c>
      <c r="H425" s="75">
        <v>5.66</v>
      </c>
      <c r="I425" s="75">
        <v>41.84</v>
      </c>
      <c r="J425" s="75">
        <v>0.22</v>
      </c>
      <c r="L425" s="21"/>
      <c r="M425" s="25"/>
      <c r="N425" s="24" t="s">
        <v>791</v>
      </c>
      <c r="P425" s="6" t="s">
        <v>798</v>
      </c>
    </row>
    <row r="426" spans="1:16" x14ac:dyDescent="0.25">
      <c r="A426" s="99"/>
      <c r="B426" s="24" t="s">
        <v>598</v>
      </c>
      <c r="C426" s="21">
        <v>8.4</v>
      </c>
      <c r="D426" s="74">
        <v>67.3</v>
      </c>
      <c r="E426" s="74">
        <v>21.4</v>
      </c>
      <c r="F426" s="25">
        <v>2.9</v>
      </c>
      <c r="G426" s="67">
        <v>53.6</v>
      </c>
      <c r="H426" s="75">
        <v>6.2</v>
      </c>
      <c r="I426" s="75">
        <v>40</v>
      </c>
      <c r="J426" s="75">
        <v>0.1</v>
      </c>
      <c r="K426" s="68">
        <v>0.1</v>
      </c>
      <c r="L426" s="21"/>
      <c r="M426" s="25"/>
      <c r="N426" s="24" t="s">
        <v>579</v>
      </c>
    </row>
    <row r="427" spans="1:16" x14ac:dyDescent="0.25">
      <c r="A427" s="99"/>
      <c r="B427" s="24" t="s">
        <v>599</v>
      </c>
      <c r="C427" s="21"/>
      <c r="D427" s="74">
        <v>73.400000000000006</v>
      </c>
      <c r="E427" s="74">
        <v>23.4</v>
      </c>
      <c r="F427" s="25">
        <v>3.2</v>
      </c>
      <c r="G427" s="67">
        <v>53.6</v>
      </c>
      <c r="H427" s="75">
        <v>6.2</v>
      </c>
      <c r="I427" s="75">
        <v>40</v>
      </c>
      <c r="J427" s="75">
        <v>0.1</v>
      </c>
      <c r="K427" s="68">
        <v>0.1</v>
      </c>
      <c r="L427" s="21"/>
      <c r="M427" s="25"/>
      <c r="N427" s="24" t="s">
        <v>579</v>
      </c>
    </row>
    <row r="428" spans="1:16" x14ac:dyDescent="0.25">
      <c r="A428" s="99"/>
      <c r="B428" s="24" t="s">
        <v>600</v>
      </c>
      <c r="C428" s="21">
        <v>8.4</v>
      </c>
      <c r="D428" s="74">
        <v>63.7</v>
      </c>
      <c r="E428" s="74">
        <v>24.1</v>
      </c>
      <c r="F428" s="25">
        <v>3.8</v>
      </c>
      <c r="G428" s="67">
        <v>57</v>
      </c>
      <c r="H428" s="75">
        <v>10.199999999999999</v>
      </c>
      <c r="I428" s="75">
        <v>32</v>
      </c>
      <c r="J428" s="75">
        <v>0.7</v>
      </c>
      <c r="K428" s="68">
        <v>0.11</v>
      </c>
      <c r="L428" s="21"/>
      <c r="M428" s="25"/>
      <c r="N428" s="24" t="s">
        <v>579</v>
      </c>
    </row>
    <row r="429" spans="1:16" x14ac:dyDescent="0.25">
      <c r="A429" s="99"/>
      <c r="B429" s="24" t="s">
        <v>601</v>
      </c>
      <c r="C429" s="21"/>
      <c r="D429" s="74"/>
      <c r="E429" s="74"/>
      <c r="F429" s="25"/>
      <c r="G429" s="67">
        <v>57</v>
      </c>
      <c r="H429" s="75">
        <v>10.199999999999999</v>
      </c>
      <c r="I429" s="75">
        <v>32</v>
      </c>
      <c r="J429" s="75">
        <v>0.7</v>
      </c>
      <c r="K429" s="68">
        <v>0.11</v>
      </c>
      <c r="L429" s="21"/>
      <c r="M429" s="25"/>
      <c r="N429" s="24" t="s">
        <v>579</v>
      </c>
    </row>
    <row r="430" spans="1:16" x14ac:dyDescent="0.25">
      <c r="A430" s="99"/>
      <c r="B430" s="24" t="s">
        <v>563</v>
      </c>
      <c r="C430" s="21"/>
      <c r="D430" s="74">
        <v>75.3</v>
      </c>
      <c r="E430" s="74">
        <v>23.1</v>
      </c>
      <c r="F430" s="25">
        <v>1.6</v>
      </c>
      <c r="G430" s="67">
        <v>52.2</v>
      </c>
      <c r="H430" s="75">
        <v>5.0999999999999996</v>
      </c>
      <c r="I430" s="75">
        <v>42.5</v>
      </c>
      <c r="J430" s="75">
        <v>0.2</v>
      </c>
      <c r="L430" s="21"/>
      <c r="M430" s="25"/>
      <c r="N430" s="24" t="s">
        <v>570</v>
      </c>
    </row>
    <row r="431" spans="1:16" x14ac:dyDescent="0.25">
      <c r="A431" s="99"/>
      <c r="B431" s="24" t="s">
        <v>905</v>
      </c>
      <c r="C431" s="21"/>
      <c r="D431" s="74">
        <v>66.599999999999994</v>
      </c>
      <c r="E431" s="74">
        <v>31.8</v>
      </c>
      <c r="F431" s="25">
        <v>1.6</v>
      </c>
      <c r="G431" s="67">
        <v>53.1</v>
      </c>
      <c r="H431" s="75">
        <v>6.1</v>
      </c>
      <c r="I431" s="75">
        <v>40.6</v>
      </c>
      <c r="J431" s="75">
        <v>0.2</v>
      </c>
      <c r="L431" s="21"/>
      <c r="M431" s="25">
        <v>20.5</v>
      </c>
      <c r="N431" s="24" t="s">
        <v>791</v>
      </c>
      <c r="P431" s="6" t="s">
        <v>473</v>
      </c>
    </row>
    <row r="432" spans="1:16" x14ac:dyDescent="0.25">
      <c r="A432" s="99"/>
      <c r="B432" s="24" t="s">
        <v>906</v>
      </c>
      <c r="C432" s="21"/>
      <c r="D432" s="74">
        <v>81.3</v>
      </c>
      <c r="E432" s="74">
        <v>18.100000000000001</v>
      </c>
      <c r="F432" s="25">
        <v>0.6</v>
      </c>
      <c r="G432" s="67">
        <v>50.9</v>
      </c>
      <c r="H432" s="75">
        <v>6.2</v>
      </c>
      <c r="I432" s="75">
        <v>42.06</v>
      </c>
      <c r="J432" s="75">
        <v>0.2</v>
      </c>
      <c r="L432" s="21"/>
      <c r="M432" s="25">
        <v>20.27</v>
      </c>
      <c r="N432" s="24" t="s">
        <v>791</v>
      </c>
      <c r="P432" s="6" t="s">
        <v>869</v>
      </c>
    </row>
    <row r="433" spans="1:14" x14ac:dyDescent="0.25">
      <c r="A433" s="99"/>
      <c r="B433" s="24" t="s">
        <v>748</v>
      </c>
      <c r="C433" s="21">
        <v>38.1</v>
      </c>
      <c r="D433" s="74">
        <v>40.9</v>
      </c>
      <c r="E433" s="74">
        <v>8.4</v>
      </c>
      <c r="F433" s="25">
        <v>12.6</v>
      </c>
      <c r="G433" s="67">
        <v>52.2</v>
      </c>
      <c r="H433" s="75">
        <v>6</v>
      </c>
      <c r="I433" s="75">
        <v>40.4</v>
      </c>
      <c r="J433" s="75">
        <v>1.1000000000000001</v>
      </c>
      <c r="K433" s="68">
        <v>0.3</v>
      </c>
      <c r="L433" s="21"/>
      <c r="M433" s="25"/>
      <c r="N433" s="24" t="s">
        <v>579</v>
      </c>
    </row>
    <row r="434" spans="1:14" x14ac:dyDescent="0.25">
      <c r="A434" s="99"/>
      <c r="B434" s="24" t="s">
        <v>749</v>
      </c>
      <c r="C434" s="21"/>
      <c r="D434" s="74">
        <v>66</v>
      </c>
      <c r="E434" s="74">
        <v>13.6</v>
      </c>
      <c r="F434" s="25">
        <v>20.399999999999999</v>
      </c>
      <c r="G434" s="67">
        <v>52.2</v>
      </c>
      <c r="H434" s="75">
        <v>6</v>
      </c>
      <c r="I434" s="75">
        <v>40.4</v>
      </c>
      <c r="J434" s="75">
        <v>1.1000000000000001</v>
      </c>
      <c r="K434" s="68">
        <v>0.3</v>
      </c>
      <c r="L434" s="21"/>
      <c r="M434" s="25"/>
      <c r="N434" s="24" t="s">
        <v>579</v>
      </c>
    </row>
    <row r="435" spans="1:14" x14ac:dyDescent="0.25">
      <c r="A435" s="99"/>
      <c r="B435" s="24" t="s">
        <v>608</v>
      </c>
      <c r="C435" s="21">
        <v>49.2</v>
      </c>
      <c r="D435" s="74">
        <v>35.4</v>
      </c>
      <c r="E435" s="74">
        <v>7</v>
      </c>
      <c r="F435" s="25">
        <v>8.4</v>
      </c>
      <c r="G435" s="67">
        <v>50.7</v>
      </c>
      <c r="H435" s="75">
        <v>6</v>
      </c>
      <c r="I435" s="75">
        <v>42.8</v>
      </c>
      <c r="J435" s="75">
        <v>0.4</v>
      </c>
      <c r="K435" s="68">
        <v>7.0000000000000007E-2</v>
      </c>
      <c r="L435" s="21"/>
      <c r="M435" s="25"/>
      <c r="N435" s="24" t="s">
        <v>579</v>
      </c>
    </row>
    <row r="436" spans="1:14" x14ac:dyDescent="0.25">
      <c r="A436" s="99"/>
      <c r="B436" s="24" t="s">
        <v>609</v>
      </c>
      <c r="C436" s="21"/>
      <c r="D436" s="74">
        <v>69.7</v>
      </c>
      <c r="E436" s="74">
        <v>13.8</v>
      </c>
      <c r="F436" s="25">
        <v>16.5</v>
      </c>
      <c r="G436" s="67">
        <v>50.7</v>
      </c>
      <c r="H436" s="75">
        <v>6</v>
      </c>
      <c r="I436" s="75">
        <v>42.8</v>
      </c>
      <c r="J436" s="75">
        <v>0.4</v>
      </c>
      <c r="K436" s="68">
        <v>7.0000000000000007E-2</v>
      </c>
      <c r="L436" s="21"/>
      <c r="M436" s="25"/>
      <c r="N436" s="24" t="s">
        <v>579</v>
      </c>
    </row>
    <row r="437" spans="1:14" x14ac:dyDescent="0.25">
      <c r="A437" s="100"/>
      <c r="B437" s="51" t="s">
        <v>217</v>
      </c>
      <c r="C437" s="38">
        <v>10.1</v>
      </c>
      <c r="D437" s="35">
        <v>81.599999999999994</v>
      </c>
      <c r="E437" s="35"/>
      <c r="F437" s="36">
        <v>4</v>
      </c>
      <c r="G437" s="69">
        <v>48.3</v>
      </c>
      <c r="H437" s="70">
        <v>5.9</v>
      </c>
      <c r="I437" s="70">
        <v>42.9</v>
      </c>
      <c r="J437" s="70">
        <v>2.9</v>
      </c>
      <c r="K437" s="71">
        <v>0.04</v>
      </c>
      <c r="L437" s="38"/>
      <c r="M437" s="36">
        <f>19501/1000</f>
        <v>19.501000000000001</v>
      </c>
      <c r="N437" s="51" t="s">
        <v>134</v>
      </c>
    </row>
    <row r="438" spans="1:14" ht="14.45" customHeight="1" x14ac:dyDescent="0.25">
      <c r="A438" s="98" t="s">
        <v>218</v>
      </c>
      <c r="B438" s="50" t="s">
        <v>219</v>
      </c>
      <c r="C438" s="39">
        <v>8.6</v>
      </c>
      <c r="D438" s="30">
        <v>50.8</v>
      </c>
      <c r="E438" s="30"/>
      <c r="F438" s="31">
        <v>32.5</v>
      </c>
      <c r="G438" s="55">
        <v>23.5</v>
      </c>
      <c r="H438" s="56">
        <v>4.8</v>
      </c>
      <c r="I438" s="56">
        <v>0.08</v>
      </c>
      <c r="J438" s="56">
        <v>4.4000000000000004</v>
      </c>
      <c r="K438" s="57">
        <v>34.799999999999997</v>
      </c>
      <c r="L438" s="39"/>
      <c r="M438" s="31">
        <f>10550/1000</f>
        <v>10.55</v>
      </c>
      <c r="N438" s="50" t="s">
        <v>134</v>
      </c>
    </row>
    <row r="439" spans="1:14" x14ac:dyDescent="0.25">
      <c r="A439" s="99"/>
      <c r="B439" s="24" t="s">
        <v>220</v>
      </c>
      <c r="C439" s="21">
        <v>3.81</v>
      </c>
      <c r="D439" s="74">
        <v>45.7</v>
      </c>
      <c r="E439" s="74"/>
      <c r="F439" s="25">
        <v>32.4</v>
      </c>
      <c r="G439" s="67">
        <v>31.07</v>
      </c>
      <c r="H439" s="75">
        <v>2.96</v>
      </c>
      <c r="I439" s="75">
        <v>0.55000000000000004</v>
      </c>
      <c r="J439" s="75">
        <v>0.93</v>
      </c>
      <c r="K439" s="68">
        <v>29.09</v>
      </c>
      <c r="L439" s="21"/>
      <c r="M439" s="25"/>
      <c r="N439" s="24" t="s">
        <v>134</v>
      </c>
    </row>
    <row r="440" spans="1:14" x14ac:dyDescent="0.25">
      <c r="A440" s="99"/>
      <c r="B440" s="24" t="s">
        <v>221</v>
      </c>
      <c r="C440" s="21"/>
      <c r="D440" s="74"/>
      <c r="E440" s="74"/>
      <c r="F440" s="25"/>
      <c r="G440" s="67">
        <v>36.5</v>
      </c>
      <c r="H440" s="75">
        <v>0</v>
      </c>
      <c r="I440" s="75">
        <v>0.125</v>
      </c>
      <c r="J440" s="75">
        <v>0</v>
      </c>
      <c r="K440" s="68">
        <v>35.5</v>
      </c>
      <c r="L440" s="21"/>
      <c r="M440" s="25"/>
      <c r="N440" s="24" t="s">
        <v>134</v>
      </c>
    </row>
    <row r="441" spans="1:14" x14ac:dyDescent="0.25">
      <c r="A441" s="99"/>
      <c r="B441" s="24" t="s">
        <v>504</v>
      </c>
      <c r="C441" s="21"/>
      <c r="D441" s="74"/>
      <c r="E441" s="74"/>
      <c r="F441" s="25"/>
      <c r="G441" s="67">
        <v>36</v>
      </c>
      <c r="H441" s="75">
        <v>4</v>
      </c>
      <c r="I441" s="75">
        <v>35</v>
      </c>
      <c r="K441" s="68">
        <v>4.5</v>
      </c>
      <c r="L441" s="21"/>
      <c r="M441" s="25">
        <v>15</v>
      </c>
      <c r="N441" s="24" t="s">
        <v>309</v>
      </c>
    </row>
    <row r="442" spans="1:14" x14ac:dyDescent="0.25">
      <c r="A442" s="99"/>
      <c r="B442" s="24" t="s">
        <v>222</v>
      </c>
      <c r="C442" s="21"/>
      <c r="D442" s="74"/>
      <c r="E442" s="74"/>
      <c r="F442" s="25">
        <v>9.4</v>
      </c>
      <c r="G442" s="67">
        <v>6.3</v>
      </c>
      <c r="J442" s="75">
        <v>4.9000000000000004</v>
      </c>
      <c r="L442" s="21"/>
      <c r="M442" s="25"/>
      <c r="N442" s="24" t="s">
        <v>134</v>
      </c>
    </row>
    <row r="443" spans="1:14" x14ac:dyDescent="0.25">
      <c r="A443" s="100"/>
      <c r="B443" s="51" t="s">
        <v>223</v>
      </c>
      <c r="C443" s="38">
        <v>20.6</v>
      </c>
      <c r="D443" s="35">
        <v>43.54</v>
      </c>
      <c r="E443" s="35"/>
      <c r="F443" s="36">
        <v>48.28</v>
      </c>
      <c r="G443" s="69"/>
      <c r="H443" s="70"/>
      <c r="I443" s="70"/>
      <c r="J443" s="70"/>
      <c r="K443" s="71">
        <v>13.57</v>
      </c>
      <c r="L443" s="38"/>
      <c r="M443" s="36"/>
      <c r="N443" s="51" t="s">
        <v>134</v>
      </c>
    </row>
    <row r="444" spans="1:14" ht="14.45" customHeight="1" x14ac:dyDescent="0.25">
      <c r="A444" s="95" t="s">
        <v>224</v>
      </c>
      <c r="B444" s="50" t="s">
        <v>225</v>
      </c>
      <c r="C444" s="39">
        <v>6.2</v>
      </c>
      <c r="D444" s="30">
        <v>68.099999999999994</v>
      </c>
      <c r="E444" s="30"/>
      <c r="F444" s="31">
        <v>15.8</v>
      </c>
      <c r="G444" s="55">
        <v>46.2</v>
      </c>
      <c r="H444" s="56">
        <v>7.7</v>
      </c>
      <c r="I444" s="56">
        <v>22.3</v>
      </c>
      <c r="J444" s="56">
        <v>1.7</v>
      </c>
      <c r="K444" s="57">
        <v>0.23</v>
      </c>
      <c r="L444" s="39"/>
      <c r="M444" s="31">
        <f>19220/1000</f>
        <v>19.22</v>
      </c>
      <c r="N444" s="50" t="s">
        <v>134</v>
      </c>
    </row>
    <row r="445" spans="1:14" x14ac:dyDescent="0.25">
      <c r="A445" s="96"/>
      <c r="B445" s="24" t="s">
        <v>226</v>
      </c>
      <c r="C445" s="21">
        <v>3.3</v>
      </c>
      <c r="D445" s="74">
        <v>79.7</v>
      </c>
      <c r="E445" s="74"/>
      <c r="F445" s="25">
        <v>9.1</v>
      </c>
      <c r="G445" s="67">
        <v>63.6</v>
      </c>
      <c r="H445" s="75">
        <v>8.1</v>
      </c>
      <c r="I445" s="75">
        <v>27.1</v>
      </c>
      <c r="J445" s="75">
        <v>0.4</v>
      </c>
      <c r="K445" s="68">
        <v>0.11</v>
      </c>
      <c r="L445" s="21"/>
      <c r="M445" s="25">
        <f>15978/1000</f>
        <v>15.978</v>
      </c>
      <c r="N445" s="24" t="s">
        <v>134</v>
      </c>
    </row>
    <row r="446" spans="1:14" x14ac:dyDescent="0.25">
      <c r="A446" s="96"/>
      <c r="B446" s="24" t="s">
        <v>227</v>
      </c>
      <c r="C446" s="21">
        <v>60.6</v>
      </c>
      <c r="D446" s="74">
        <v>31.9</v>
      </c>
      <c r="E446" s="74"/>
      <c r="F446" s="25">
        <v>4</v>
      </c>
      <c r="G446" s="67">
        <v>55.2</v>
      </c>
      <c r="H446" s="75">
        <v>5.3</v>
      </c>
      <c r="I446" s="75">
        <v>34.799999999999997</v>
      </c>
      <c r="J446" s="75">
        <v>2.6</v>
      </c>
      <c r="K446" s="68">
        <v>0.28999999999999998</v>
      </c>
      <c r="L446" s="21"/>
      <c r="M446" s="25">
        <f>12420/1000</f>
        <v>12.42</v>
      </c>
      <c r="N446" s="24" t="s">
        <v>134</v>
      </c>
    </row>
    <row r="447" spans="1:14" x14ac:dyDescent="0.25">
      <c r="A447" s="96"/>
      <c r="B447" s="24" t="s">
        <v>228</v>
      </c>
      <c r="C447" s="21">
        <v>4.5999999999999996</v>
      </c>
      <c r="D447" s="74">
        <v>77.900000000000006</v>
      </c>
      <c r="E447" s="74"/>
      <c r="F447" s="25">
        <v>5.3</v>
      </c>
      <c r="L447" s="21"/>
      <c r="M447" s="25"/>
      <c r="N447" s="24" t="s">
        <v>134</v>
      </c>
    </row>
    <row r="448" spans="1:14" x14ac:dyDescent="0.25">
      <c r="A448" s="96"/>
      <c r="B448" s="24" t="s">
        <v>229</v>
      </c>
      <c r="C448" s="21">
        <v>59.6</v>
      </c>
      <c r="D448" s="74">
        <v>21.6</v>
      </c>
      <c r="E448" s="74"/>
      <c r="F448" s="25">
        <v>15.5</v>
      </c>
      <c r="G448" s="67">
        <v>14.6</v>
      </c>
      <c r="H448" s="75">
        <v>2.1</v>
      </c>
      <c r="I448" s="75">
        <v>7.6</v>
      </c>
      <c r="J448" s="75">
        <v>0.4</v>
      </c>
      <c r="K448" s="68">
        <v>0.09</v>
      </c>
      <c r="L448" s="21"/>
      <c r="M448" s="25"/>
      <c r="N448" s="24" t="s">
        <v>134</v>
      </c>
    </row>
    <row r="449" spans="1:16" x14ac:dyDescent="0.25">
      <c r="A449" s="96"/>
      <c r="B449" s="24" t="s">
        <v>230</v>
      </c>
      <c r="C449" s="21">
        <v>25</v>
      </c>
      <c r="D449" s="74"/>
      <c r="E449" s="74"/>
      <c r="F449" s="25" t="s">
        <v>401</v>
      </c>
      <c r="G449" s="67" t="s">
        <v>402</v>
      </c>
      <c r="H449" s="75" t="s">
        <v>403</v>
      </c>
      <c r="I449" s="75" t="s">
        <v>404</v>
      </c>
      <c r="J449" s="75" t="s">
        <v>405</v>
      </c>
      <c r="K449" s="68" t="s">
        <v>406</v>
      </c>
      <c r="L449" s="21"/>
      <c r="M449" s="25"/>
      <c r="N449" s="24" t="s">
        <v>134</v>
      </c>
    </row>
    <row r="450" spans="1:16" x14ac:dyDescent="0.25">
      <c r="A450" s="96"/>
      <c r="B450" s="24" t="s">
        <v>231</v>
      </c>
      <c r="C450" s="21">
        <v>48.9</v>
      </c>
      <c r="D450" s="74">
        <v>59.1</v>
      </c>
      <c r="E450" s="74"/>
      <c r="F450" s="25">
        <v>35.5</v>
      </c>
      <c r="G450" s="67">
        <v>54.1</v>
      </c>
      <c r="H450" s="75">
        <v>6.5</v>
      </c>
      <c r="I450" s="75">
        <v>35.700000000000003</v>
      </c>
      <c r="J450" s="75">
        <v>2.9</v>
      </c>
      <c r="K450" s="68">
        <v>0.81</v>
      </c>
      <c r="L450" s="21"/>
      <c r="M450" s="25">
        <f>25788/1000</f>
        <v>25.788</v>
      </c>
      <c r="N450" s="24" t="s">
        <v>134</v>
      </c>
    </row>
    <row r="451" spans="1:16" x14ac:dyDescent="0.25">
      <c r="A451" s="96"/>
      <c r="B451" s="24" t="s">
        <v>232</v>
      </c>
      <c r="C451" s="21">
        <v>23</v>
      </c>
      <c r="D451" s="74">
        <v>40.32</v>
      </c>
      <c r="E451" s="74"/>
      <c r="F451" s="25">
        <v>47.01</v>
      </c>
      <c r="G451" s="67">
        <v>32.65</v>
      </c>
      <c r="H451" s="75">
        <v>4.43</v>
      </c>
      <c r="I451" s="75">
        <v>12.94</v>
      </c>
      <c r="J451" s="75">
        <v>2.37</v>
      </c>
      <c r="K451" s="68">
        <v>0.2</v>
      </c>
      <c r="L451" s="21"/>
      <c r="M451" s="25">
        <f>11190/1000</f>
        <v>11.19</v>
      </c>
      <c r="N451" s="24" t="s">
        <v>134</v>
      </c>
    </row>
    <row r="452" spans="1:16" x14ac:dyDescent="0.25">
      <c r="A452" s="96"/>
      <c r="B452" s="24" t="s">
        <v>310</v>
      </c>
      <c r="C452" s="21">
        <v>44</v>
      </c>
      <c r="D452" s="74">
        <v>76.900000000000006</v>
      </c>
      <c r="E452" s="74"/>
      <c r="F452" s="25">
        <v>26.7</v>
      </c>
      <c r="G452" s="67">
        <v>40.93</v>
      </c>
      <c r="H452" s="75">
        <v>5.32</v>
      </c>
      <c r="I452" s="75">
        <v>25.67</v>
      </c>
      <c r="J452" s="75">
        <v>1.38</v>
      </c>
      <c r="K452" s="68">
        <v>0</v>
      </c>
      <c r="L452" s="21"/>
      <c r="M452" s="25"/>
      <c r="N452" s="24" t="s">
        <v>309</v>
      </c>
      <c r="P452" s="6" t="s">
        <v>295</v>
      </c>
    </row>
    <row r="453" spans="1:16" x14ac:dyDescent="0.25">
      <c r="A453" s="96"/>
      <c r="B453" s="24" t="s">
        <v>324</v>
      </c>
      <c r="C453" s="21">
        <v>11.95</v>
      </c>
      <c r="D453" s="74"/>
      <c r="E453" s="74"/>
      <c r="F453" s="25">
        <v>6.78</v>
      </c>
      <c r="G453" s="67">
        <v>50.5</v>
      </c>
      <c r="H453" s="75">
        <v>5.49</v>
      </c>
      <c r="I453" s="75">
        <v>41.57</v>
      </c>
      <c r="J453" s="75">
        <v>0.3</v>
      </c>
      <c r="L453" s="21"/>
      <c r="M453" s="25">
        <v>18.309999999999999</v>
      </c>
      <c r="N453" s="24" t="s">
        <v>322</v>
      </c>
      <c r="P453" s="6" t="s">
        <v>131</v>
      </c>
    </row>
    <row r="454" spans="1:16" x14ac:dyDescent="0.25">
      <c r="A454" s="96"/>
      <c r="B454" s="24" t="s">
        <v>325</v>
      </c>
      <c r="C454" s="21">
        <v>2.25</v>
      </c>
      <c r="D454" s="74"/>
      <c r="E454" s="74"/>
      <c r="F454" s="25">
        <v>65.52</v>
      </c>
      <c r="G454" s="67">
        <v>14.93</v>
      </c>
      <c r="H454" s="75">
        <v>12.59</v>
      </c>
      <c r="I454" s="75">
        <v>3.2</v>
      </c>
      <c r="J454" s="75">
        <v>0.49</v>
      </c>
      <c r="L454" s="21"/>
      <c r="M454" s="25">
        <v>43.53</v>
      </c>
      <c r="N454" s="24" t="s">
        <v>322</v>
      </c>
      <c r="P454" s="6" t="s">
        <v>131</v>
      </c>
    </row>
    <row r="455" spans="1:16" x14ac:dyDescent="0.25">
      <c r="A455" s="96"/>
      <c r="B455" s="24" t="s">
        <v>326</v>
      </c>
      <c r="C455" s="21">
        <v>81.58</v>
      </c>
      <c r="D455" s="74"/>
      <c r="E455" s="74"/>
      <c r="F455" s="25">
        <v>1.1000000000000001</v>
      </c>
      <c r="G455" s="67">
        <v>37.14</v>
      </c>
      <c r="H455" s="75">
        <v>5.28</v>
      </c>
      <c r="I455" s="75">
        <v>50.38</v>
      </c>
      <c r="J455" s="75">
        <v>3.04</v>
      </c>
      <c r="L455" s="21"/>
      <c r="M455" s="6">
        <v>12.33</v>
      </c>
      <c r="N455" s="24" t="s">
        <v>322</v>
      </c>
      <c r="P455" s="6" t="s">
        <v>131</v>
      </c>
    </row>
    <row r="456" spans="1:16" x14ac:dyDescent="0.25">
      <c r="A456" s="96"/>
      <c r="B456" s="24" t="s">
        <v>323</v>
      </c>
      <c r="C456" s="21">
        <v>33.53</v>
      </c>
      <c r="D456" s="74"/>
      <c r="E456" s="74"/>
      <c r="F456" s="25">
        <v>14.67</v>
      </c>
      <c r="G456" s="67">
        <v>51.53</v>
      </c>
      <c r="H456" s="75">
        <v>6.6</v>
      </c>
      <c r="I456" s="75">
        <v>38.11</v>
      </c>
      <c r="J456" s="75">
        <v>1.24</v>
      </c>
      <c r="L456" s="21"/>
      <c r="M456" s="25">
        <v>20.11</v>
      </c>
      <c r="N456" s="24" t="s">
        <v>322</v>
      </c>
      <c r="P456" s="6" t="s">
        <v>131</v>
      </c>
    </row>
    <row r="457" spans="1:16" x14ac:dyDescent="0.25">
      <c r="A457" s="96"/>
      <c r="B457" s="24" t="s">
        <v>738</v>
      </c>
      <c r="C457" s="21">
        <v>12.1</v>
      </c>
      <c r="D457" s="74">
        <v>72.900000000000006</v>
      </c>
      <c r="E457" s="74">
        <v>11.8</v>
      </c>
      <c r="F457" s="25">
        <v>3.2</v>
      </c>
      <c r="G457" s="67">
        <v>51.8</v>
      </c>
      <c r="H457" s="75">
        <v>6.1</v>
      </c>
      <c r="I457" s="75">
        <v>41.8</v>
      </c>
      <c r="J457" s="75">
        <v>0.3</v>
      </c>
      <c r="K457" s="68">
        <v>0.04</v>
      </c>
      <c r="L457" s="21"/>
      <c r="M457" s="25"/>
      <c r="N457" s="24" t="s">
        <v>579</v>
      </c>
    </row>
    <row r="458" spans="1:16" x14ac:dyDescent="0.25">
      <c r="A458" s="96"/>
      <c r="B458" s="24" t="s">
        <v>742</v>
      </c>
      <c r="C458" s="21"/>
      <c r="D458" s="74">
        <v>83</v>
      </c>
      <c r="E458" s="74">
        <v>13.4</v>
      </c>
      <c r="F458" s="25">
        <v>3.6</v>
      </c>
      <c r="G458" s="67">
        <v>51.8</v>
      </c>
      <c r="H458" s="75">
        <v>6.1</v>
      </c>
      <c r="I458" s="75">
        <v>41.8</v>
      </c>
      <c r="J458" s="75">
        <v>0.3</v>
      </c>
      <c r="K458" s="68">
        <v>0.04</v>
      </c>
      <c r="L458" s="21"/>
      <c r="M458" s="25"/>
      <c r="N458" s="24" t="s">
        <v>579</v>
      </c>
    </row>
    <row r="459" spans="1:16" x14ac:dyDescent="0.25">
      <c r="A459" s="96"/>
      <c r="B459" s="24" t="s">
        <v>739</v>
      </c>
      <c r="C459" s="21">
        <v>8.8000000000000007</v>
      </c>
      <c r="D459" s="74">
        <v>76.8</v>
      </c>
      <c r="E459" s="74">
        <v>6.8</v>
      </c>
      <c r="F459" s="25">
        <v>7.6</v>
      </c>
      <c r="G459" s="67">
        <v>52.3</v>
      </c>
      <c r="H459" s="75">
        <v>7.2</v>
      </c>
      <c r="I459" s="75">
        <v>40.200000000000003</v>
      </c>
      <c r="J459" s="75">
        <v>0.2</v>
      </c>
      <c r="K459" s="68">
        <v>0.08</v>
      </c>
      <c r="L459" s="21"/>
      <c r="M459" s="25"/>
      <c r="N459" s="24" t="s">
        <v>579</v>
      </c>
    </row>
    <row r="460" spans="1:16" x14ac:dyDescent="0.25">
      <c r="A460" s="96"/>
      <c r="B460" s="24" t="s">
        <v>743</v>
      </c>
      <c r="C460" s="21"/>
      <c r="D460" s="74">
        <v>84.2</v>
      </c>
      <c r="E460" s="74">
        <v>7.5</v>
      </c>
      <c r="F460" s="25">
        <v>8.3000000000000007</v>
      </c>
      <c r="G460" s="67">
        <v>52.3</v>
      </c>
      <c r="H460" s="75">
        <v>7.2</v>
      </c>
      <c r="I460" s="75">
        <v>40.200000000000003</v>
      </c>
      <c r="J460" s="75">
        <v>0.2</v>
      </c>
      <c r="K460" s="68">
        <v>0.08</v>
      </c>
      <c r="L460" s="21"/>
      <c r="M460" s="25"/>
      <c r="N460" s="24" t="s">
        <v>579</v>
      </c>
    </row>
    <row r="461" spans="1:16" x14ac:dyDescent="0.25">
      <c r="A461" s="96"/>
      <c r="B461" s="24" t="s">
        <v>740</v>
      </c>
      <c r="C461" s="21">
        <v>2.5</v>
      </c>
      <c r="D461" s="74">
        <v>61</v>
      </c>
      <c r="E461" s="74">
        <v>5.5</v>
      </c>
      <c r="F461" s="25">
        <v>31</v>
      </c>
      <c r="G461" s="67">
        <v>70.900000000000006</v>
      </c>
      <c r="H461" s="75">
        <v>11.2</v>
      </c>
      <c r="I461" s="75">
        <v>16.399999999999999</v>
      </c>
      <c r="J461" s="75">
        <v>1.5</v>
      </c>
      <c r="K461" s="68">
        <v>0.01</v>
      </c>
      <c r="L461" s="21"/>
      <c r="M461" s="25"/>
      <c r="N461" s="24" t="s">
        <v>579</v>
      </c>
    </row>
    <row r="462" spans="1:16" x14ac:dyDescent="0.25">
      <c r="A462" s="96"/>
      <c r="B462" s="24" t="s">
        <v>744</v>
      </c>
      <c r="C462" s="21"/>
      <c r="D462" s="74">
        <v>62.6</v>
      </c>
      <c r="E462" s="74">
        <v>5.6</v>
      </c>
      <c r="F462" s="25">
        <v>31.8</v>
      </c>
      <c r="G462" s="67">
        <v>70.900000000000006</v>
      </c>
      <c r="H462" s="75">
        <v>11.2</v>
      </c>
      <c r="I462" s="75">
        <v>16.399999999999999</v>
      </c>
      <c r="J462" s="75">
        <v>1.5</v>
      </c>
      <c r="K462" s="68">
        <v>0.01</v>
      </c>
      <c r="L462" s="21"/>
      <c r="M462" s="25"/>
      <c r="N462" s="24" t="s">
        <v>579</v>
      </c>
    </row>
    <row r="463" spans="1:16" x14ac:dyDescent="0.25">
      <c r="A463" s="96"/>
      <c r="B463" s="24" t="s">
        <v>741</v>
      </c>
      <c r="C463" s="21">
        <v>4.2</v>
      </c>
      <c r="D463" s="74">
        <v>70.3</v>
      </c>
      <c r="E463" s="74">
        <v>0.5</v>
      </c>
      <c r="F463" s="25">
        <v>25</v>
      </c>
      <c r="G463" s="67">
        <v>53.8</v>
      </c>
      <c r="H463" s="75">
        <v>7.8</v>
      </c>
      <c r="I463" s="75">
        <v>36.799999999999997</v>
      </c>
      <c r="J463" s="75">
        <v>1.1000000000000001</v>
      </c>
      <c r="K463" s="68">
        <v>0.47</v>
      </c>
      <c r="L463" s="21"/>
      <c r="M463" s="25"/>
      <c r="N463" s="24" t="s">
        <v>579</v>
      </c>
    </row>
    <row r="464" spans="1:16" x14ac:dyDescent="0.25">
      <c r="A464" s="96"/>
      <c r="B464" s="24" t="s">
        <v>745</v>
      </c>
      <c r="C464" s="21"/>
      <c r="D464" s="74">
        <v>73.400000000000006</v>
      </c>
      <c r="E464" s="74">
        <v>0.5</v>
      </c>
      <c r="F464" s="25">
        <v>26.1</v>
      </c>
      <c r="G464" s="67">
        <v>53.8</v>
      </c>
      <c r="H464" s="75">
        <v>7.8</v>
      </c>
      <c r="I464" s="75">
        <v>36.799999999999997</v>
      </c>
      <c r="J464" s="75">
        <v>1.1000000000000001</v>
      </c>
      <c r="K464" s="68">
        <v>0.47</v>
      </c>
      <c r="L464" s="21"/>
      <c r="M464" s="25"/>
      <c r="N464" s="24" t="s">
        <v>579</v>
      </c>
    </row>
    <row r="465" spans="1:14" x14ac:dyDescent="0.25">
      <c r="A465" s="96"/>
      <c r="B465" s="24" t="s">
        <v>734</v>
      </c>
      <c r="C465" s="21">
        <v>4.7</v>
      </c>
      <c r="D465" s="74">
        <v>79</v>
      </c>
      <c r="E465" s="74">
        <v>11.1</v>
      </c>
      <c r="F465" s="25">
        <v>5.2</v>
      </c>
      <c r="G465" s="67">
        <v>45.4</v>
      </c>
      <c r="H465" s="75">
        <v>6.3</v>
      </c>
      <c r="I465" s="75">
        <v>46.1</v>
      </c>
      <c r="J465" s="75">
        <v>1.9</v>
      </c>
      <c r="K465" s="68">
        <v>0.32</v>
      </c>
      <c r="L465" s="21"/>
      <c r="M465" s="25"/>
      <c r="N465" s="24" t="s">
        <v>579</v>
      </c>
    </row>
    <row r="466" spans="1:14" x14ac:dyDescent="0.25">
      <c r="A466" s="96"/>
      <c r="B466" s="24" t="s">
        <v>735</v>
      </c>
      <c r="C466" s="21"/>
      <c r="D466" s="74">
        <v>82.9</v>
      </c>
      <c r="E466" s="74">
        <v>11.6</v>
      </c>
      <c r="F466" s="25">
        <v>5.5</v>
      </c>
      <c r="G466" s="67">
        <v>45.4</v>
      </c>
      <c r="H466" s="75">
        <v>6.3</v>
      </c>
      <c r="I466" s="75">
        <v>46.1</v>
      </c>
      <c r="J466" s="75">
        <v>1.9</v>
      </c>
      <c r="K466" s="68">
        <v>0.32</v>
      </c>
      <c r="L466" s="21"/>
      <c r="M466" s="25"/>
      <c r="N466" s="24" t="s">
        <v>579</v>
      </c>
    </row>
    <row r="467" spans="1:14" x14ac:dyDescent="0.25">
      <c r="A467" s="96"/>
      <c r="B467" s="24" t="s">
        <v>736</v>
      </c>
      <c r="C467" s="5">
        <v>16.3</v>
      </c>
      <c r="D467">
        <v>61.8</v>
      </c>
      <c r="E467">
        <v>14.45</v>
      </c>
      <c r="F467" s="6">
        <v>5.8</v>
      </c>
      <c r="G467" s="67">
        <v>51.7</v>
      </c>
      <c r="H467" s="75">
        <v>6.4</v>
      </c>
      <c r="I467" s="75">
        <v>40.700000000000003</v>
      </c>
      <c r="J467" s="75">
        <v>1.1000000000000001</v>
      </c>
      <c r="K467" s="68">
        <v>0.09</v>
      </c>
      <c r="L467" s="21"/>
      <c r="M467" s="25"/>
      <c r="N467" s="24" t="s">
        <v>579</v>
      </c>
    </row>
    <row r="468" spans="1:14" x14ac:dyDescent="0.25">
      <c r="A468" s="96"/>
      <c r="B468" s="24" t="s">
        <v>737</v>
      </c>
      <c r="D468" s="74">
        <v>75.8</v>
      </c>
      <c r="E468" s="74">
        <v>17.3</v>
      </c>
      <c r="F468" s="6">
        <v>6.9</v>
      </c>
      <c r="G468" s="67">
        <v>51.7</v>
      </c>
      <c r="H468" s="75">
        <v>6.4</v>
      </c>
      <c r="I468" s="75">
        <v>40.700000000000003</v>
      </c>
      <c r="J468" s="75">
        <v>1.1000000000000001</v>
      </c>
      <c r="K468" s="68">
        <v>0.09</v>
      </c>
      <c r="L468" s="21"/>
      <c r="M468" s="25"/>
      <c r="N468" s="24" t="s">
        <v>579</v>
      </c>
    </row>
    <row r="469" spans="1:14" x14ac:dyDescent="0.25">
      <c r="A469" s="96"/>
      <c r="B469" s="24" t="s">
        <v>233</v>
      </c>
      <c r="C469" s="21">
        <v>10.8</v>
      </c>
      <c r="D469" s="74">
        <v>76.900000000000006</v>
      </c>
      <c r="E469" s="74"/>
      <c r="F469" s="25">
        <v>7.7</v>
      </c>
      <c r="G469" s="67">
        <v>52.3</v>
      </c>
      <c r="H469" s="75">
        <v>6.5</v>
      </c>
      <c r="I469" s="75">
        <v>38.299999999999997</v>
      </c>
      <c r="J469" s="75">
        <v>2.7</v>
      </c>
      <c r="K469" s="68">
        <v>0.3</v>
      </c>
      <c r="L469" s="21"/>
      <c r="M469" s="25">
        <f>19900/1000</f>
        <v>19.899999999999999</v>
      </c>
      <c r="N469" s="24" t="s">
        <v>134</v>
      </c>
    </row>
    <row r="470" spans="1:14" x14ac:dyDescent="0.25">
      <c r="A470" s="96"/>
      <c r="B470" s="24" t="s">
        <v>234</v>
      </c>
      <c r="C470" s="21">
        <v>2.1</v>
      </c>
      <c r="D470" s="74">
        <v>68.8</v>
      </c>
      <c r="E470" s="74"/>
      <c r="F470" s="25">
        <v>12.9</v>
      </c>
      <c r="G470" s="67">
        <v>58.6</v>
      </c>
      <c r="H470" s="75">
        <v>6.7</v>
      </c>
      <c r="I470" s="75">
        <v>17.100000000000001</v>
      </c>
      <c r="J470" s="75">
        <v>2.2000000000000002</v>
      </c>
      <c r="K470" s="68">
        <v>0.3</v>
      </c>
      <c r="L470" s="21"/>
      <c r="M470" s="25"/>
      <c r="N470" s="24" t="s">
        <v>134</v>
      </c>
    </row>
    <row r="471" spans="1:14" x14ac:dyDescent="0.25">
      <c r="A471" s="96"/>
      <c r="B471" s="24" t="s">
        <v>235</v>
      </c>
      <c r="C471" s="21"/>
      <c r="D471" s="74"/>
      <c r="E471" s="74"/>
      <c r="F471" s="25"/>
      <c r="L471" s="21"/>
      <c r="M471" s="25"/>
      <c r="N471" s="24" t="s">
        <v>134</v>
      </c>
    </row>
    <row r="472" spans="1:14" x14ac:dyDescent="0.25">
      <c r="A472" s="97"/>
      <c r="B472" s="51" t="s">
        <v>236</v>
      </c>
      <c r="C472" s="38">
        <v>57</v>
      </c>
      <c r="D472" s="35">
        <v>74.3</v>
      </c>
      <c r="E472" s="35"/>
      <c r="F472" s="36">
        <v>15</v>
      </c>
      <c r="G472" s="69">
        <v>39.799999999999997</v>
      </c>
      <c r="H472" s="70">
        <v>5.0999999999999996</v>
      </c>
      <c r="I472" s="70">
        <v>40.5</v>
      </c>
      <c r="J472" s="70">
        <v>1.6</v>
      </c>
      <c r="K472" s="71"/>
      <c r="L472" s="38"/>
      <c r="M472" s="36">
        <f>14900/1000</f>
        <v>14.9</v>
      </c>
      <c r="N472" s="51" t="s">
        <v>134</v>
      </c>
    </row>
    <row r="473" spans="1:14" x14ac:dyDescent="0.25">
      <c r="A473" s="95" t="s">
        <v>237</v>
      </c>
      <c r="B473" s="50" t="s">
        <v>238</v>
      </c>
      <c r="C473" s="39"/>
      <c r="D473" s="30" t="s">
        <v>408</v>
      </c>
      <c r="E473" s="30" t="s">
        <v>409</v>
      </c>
      <c r="F473" s="31" t="s">
        <v>410</v>
      </c>
      <c r="G473" s="55" t="s">
        <v>411</v>
      </c>
      <c r="H473" s="72" t="s">
        <v>429</v>
      </c>
      <c r="I473" s="56" t="s">
        <v>412</v>
      </c>
      <c r="J473" s="56" t="s">
        <v>413</v>
      </c>
      <c r="K473" s="57" t="s">
        <v>414</v>
      </c>
      <c r="L473" s="39"/>
      <c r="M473" s="31" t="s">
        <v>407</v>
      </c>
      <c r="N473" s="50" t="s">
        <v>134</v>
      </c>
    </row>
    <row r="474" spans="1:14" x14ac:dyDescent="0.25">
      <c r="A474" s="96"/>
      <c r="B474" s="24" t="s">
        <v>239</v>
      </c>
      <c r="C474" s="21"/>
      <c r="D474" s="74">
        <v>67</v>
      </c>
      <c r="E474" s="74"/>
      <c r="F474" s="25">
        <v>12.4</v>
      </c>
      <c r="G474" s="67">
        <v>42.5</v>
      </c>
      <c r="H474" s="75">
        <v>5.9</v>
      </c>
      <c r="I474" s="75">
        <v>49.8</v>
      </c>
      <c r="J474" s="75">
        <v>1.8</v>
      </c>
      <c r="L474" s="21"/>
      <c r="M474" s="25">
        <f>19740/1000</f>
        <v>19.739999999999998</v>
      </c>
      <c r="N474" s="24" t="s">
        <v>134</v>
      </c>
    </row>
    <row r="475" spans="1:14" x14ac:dyDescent="0.25">
      <c r="A475" s="96"/>
      <c r="B475" s="24" t="s">
        <v>240</v>
      </c>
      <c r="C475" s="21">
        <v>6.8</v>
      </c>
      <c r="D475" s="74">
        <v>55.5</v>
      </c>
      <c r="E475" s="74"/>
      <c r="F475" s="25">
        <v>25.7</v>
      </c>
      <c r="G475" s="67">
        <v>35.799999999999997</v>
      </c>
      <c r="H475" s="75">
        <v>9.5</v>
      </c>
      <c r="I475" s="75">
        <v>25.5</v>
      </c>
      <c r="J475" s="75">
        <v>3.2</v>
      </c>
      <c r="K475" s="68">
        <v>0.3</v>
      </c>
      <c r="L475" s="21"/>
      <c r="M475" s="25"/>
      <c r="N475" s="24" t="s">
        <v>134</v>
      </c>
    </row>
    <row r="476" spans="1:14" x14ac:dyDescent="0.25">
      <c r="A476" s="96"/>
      <c r="B476" s="24" t="s">
        <v>241</v>
      </c>
      <c r="C476" s="21">
        <v>2.2999999999999998</v>
      </c>
      <c r="D476" s="74">
        <v>33</v>
      </c>
      <c r="E476" s="74"/>
      <c r="F476" s="25">
        <v>54.8</v>
      </c>
      <c r="G476" s="67">
        <v>21.8</v>
      </c>
      <c r="H476" s="75">
        <v>2.6</v>
      </c>
      <c r="I476" s="75">
        <v>18.600000000000001</v>
      </c>
      <c r="J476" s="75">
        <v>1.3</v>
      </c>
      <c r="K476" s="68">
        <v>0.54</v>
      </c>
      <c r="L476" s="21"/>
      <c r="M476" s="25">
        <f>8920/1000</f>
        <v>8.92</v>
      </c>
      <c r="N476" s="24" t="s">
        <v>134</v>
      </c>
    </row>
    <row r="477" spans="1:14" x14ac:dyDescent="0.25">
      <c r="A477" s="96"/>
      <c r="B477" s="24" t="s">
        <v>242</v>
      </c>
      <c r="C477" s="21"/>
      <c r="D477" s="74" t="s">
        <v>416</v>
      </c>
      <c r="E477" s="74" t="s">
        <v>417</v>
      </c>
      <c r="F477" s="25" t="s">
        <v>418</v>
      </c>
      <c r="G477" s="67" t="s">
        <v>419</v>
      </c>
      <c r="H477" s="75" t="s">
        <v>420</v>
      </c>
      <c r="I477" s="75" t="s">
        <v>421</v>
      </c>
      <c r="J477" s="75" t="s">
        <v>422</v>
      </c>
      <c r="K477" s="68" t="s">
        <v>423</v>
      </c>
      <c r="L477" s="21"/>
      <c r="M477" s="25" t="s">
        <v>415</v>
      </c>
      <c r="N477" s="24" t="s">
        <v>134</v>
      </c>
    </row>
    <row r="478" spans="1:14" x14ac:dyDescent="0.25">
      <c r="A478" s="96"/>
      <c r="B478" s="24" t="s">
        <v>243</v>
      </c>
      <c r="C478" s="21" t="s">
        <v>424</v>
      </c>
      <c r="D478" s="74">
        <v>68</v>
      </c>
      <c r="E478" s="74"/>
      <c r="F478" s="25" t="s">
        <v>425</v>
      </c>
      <c r="G478" s="67" t="s">
        <v>426</v>
      </c>
      <c r="H478" s="75">
        <v>6.1</v>
      </c>
      <c r="I478" s="75">
        <v>21.9</v>
      </c>
      <c r="J478" s="75" t="s">
        <v>427</v>
      </c>
      <c r="K478" s="68" t="s">
        <v>428</v>
      </c>
      <c r="L478" s="21"/>
      <c r="M478" s="25">
        <f>18707/1000</f>
        <v>18.707000000000001</v>
      </c>
      <c r="N478" s="24" t="s">
        <v>134</v>
      </c>
    </row>
    <row r="479" spans="1:14" x14ac:dyDescent="0.25">
      <c r="A479" s="96"/>
      <c r="B479" s="24" t="s">
        <v>244</v>
      </c>
      <c r="C479" s="21">
        <v>71.2</v>
      </c>
      <c r="D479" s="74">
        <v>52.4</v>
      </c>
      <c r="E479" s="74"/>
      <c r="F479" s="25" t="s">
        <v>430</v>
      </c>
      <c r="G479" s="67" t="s">
        <v>431</v>
      </c>
      <c r="H479" s="75">
        <v>4.4000000000000004</v>
      </c>
      <c r="I479" s="75">
        <v>15.8</v>
      </c>
      <c r="J479" s="75" t="s">
        <v>432</v>
      </c>
      <c r="K479" s="68" t="s">
        <v>433</v>
      </c>
      <c r="L479" s="21"/>
      <c r="M479" s="25">
        <f>12891/1000</f>
        <v>12.891</v>
      </c>
      <c r="N479" s="24" t="s">
        <v>134</v>
      </c>
    </row>
    <row r="480" spans="1:14" x14ac:dyDescent="0.25">
      <c r="A480" s="97"/>
      <c r="B480" s="51" t="s">
        <v>245</v>
      </c>
      <c r="C480" s="38">
        <v>71.2</v>
      </c>
      <c r="D480" s="35">
        <v>63.97</v>
      </c>
      <c r="E480" s="35"/>
      <c r="F480" s="36">
        <v>25.81</v>
      </c>
      <c r="G480" s="69">
        <v>32.22</v>
      </c>
      <c r="H480" s="70">
        <v>4.51</v>
      </c>
      <c r="I480" s="70">
        <v>33.32</v>
      </c>
      <c r="J480" s="70">
        <v>3.07</v>
      </c>
      <c r="K480" s="71">
        <v>0.97</v>
      </c>
      <c r="L480" s="38"/>
      <c r="M480" s="36">
        <f>13700/1000</f>
        <v>13.7</v>
      </c>
      <c r="N480" s="51" t="s">
        <v>134</v>
      </c>
    </row>
    <row r="481" spans="1:14" ht="14.45" customHeight="1" x14ac:dyDescent="0.25">
      <c r="A481" s="98" t="s">
        <v>265</v>
      </c>
      <c r="B481" s="50" t="s">
        <v>249</v>
      </c>
      <c r="C481" s="39"/>
      <c r="D481" s="30"/>
      <c r="E481" s="30"/>
      <c r="F481" s="31"/>
      <c r="G481" s="55">
        <v>25.9</v>
      </c>
      <c r="H481" s="56"/>
      <c r="I481" s="56"/>
      <c r="J481" s="56">
        <v>0.7</v>
      </c>
      <c r="K481" s="57">
        <v>0.57999999999999996</v>
      </c>
      <c r="L481" s="39"/>
      <c r="M481" s="31"/>
      <c r="N481" s="50" t="s">
        <v>134</v>
      </c>
    </row>
    <row r="482" spans="1:14" x14ac:dyDescent="0.25">
      <c r="A482" s="99"/>
      <c r="B482" s="24" t="s">
        <v>250</v>
      </c>
      <c r="C482" s="21"/>
      <c r="D482" s="74"/>
      <c r="E482" s="74"/>
      <c r="F482" s="25"/>
      <c r="G482" s="67" t="s">
        <v>435</v>
      </c>
      <c r="J482" s="75" t="s">
        <v>434</v>
      </c>
      <c r="L482" s="21"/>
      <c r="M482" s="25"/>
      <c r="N482" s="24" t="s">
        <v>134</v>
      </c>
    </row>
    <row r="483" spans="1:14" x14ac:dyDescent="0.25">
      <c r="A483" s="99"/>
      <c r="B483" s="24" t="s">
        <v>251</v>
      </c>
      <c r="C483" s="21">
        <v>84.3</v>
      </c>
      <c r="D483" s="74">
        <v>77</v>
      </c>
      <c r="E483" s="74"/>
      <c r="F483" s="25">
        <v>12</v>
      </c>
      <c r="G483" s="67">
        <v>6.9</v>
      </c>
      <c r="H483" s="75">
        <v>6.8</v>
      </c>
      <c r="J483" s="75">
        <v>0.4</v>
      </c>
      <c r="L483" s="21"/>
      <c r="M483" s="25"/>
      <c r="N483" s="24" t="s">
        <v>134</v>
      </c>
    </row>
    <row r="484" spans="1:14" x14ac:dyDescent="0.25">
      <c r="A484" s="99"/>
      <c r="B484" s="24" t="s">
        <v>252</v>
      </c>
      <c r="C484" s="21">
        <v>9.5</v>
      </c>
      <c r="D484" s="74">
        <v>45.8</v>
      </c>
      <c r="E484" s="74"/>
      <c r="F484" s="25">
        <v>32.200000000000003</v>
      </c>
      <c r="G484" s="67">
        <v>41.1</v>
      </c>
      <c r="H484" s="75">
        <v>5.9</v>
      </c>
      <c r="I484" s="75">
        <v>49.9</v>
      </c>
      <c r="J484" s="75">
        <v>2.7</v>
      </c>
      <c r="K484" s="68">
        <v>0.37</v>
      </c>
      <c r="L484" s="21"/>
      <c r="M484" s="25">
        <f>13426/1000</f>
        <v>13.426</v>
      </c>
      <c r="N484" s="24" t="s">
        <v>134</v>
      </c>
    </row>
    <row r="485" spans="1:14" x14ac:dyDescent="0.25">
      <c r="A485" s="99"/>
      <c r="B485" s="24" t="s">
        <v>253</v>
      </c>
      <c r="C485" s="21"/>
      <c r="D485" s="74">
        <v>82.9</v>
      </c>
      <c r="E485" s="74"/>
      <c r="F485" s="25">
        <v>17.100000000000001</v>
      </c>
      <c r="G485" s="67">
        <v>41.2</v>
      </c>
      <c r="H485" s="75">
        <v>5.7</v>
      </c>
      <c r="J485" s="75">
        <v>3.9</v>
      </c>
      <c r="L485" s="21"/>
      <c r="M485" s="25"/>
      <c r="N485" s="24" t="s">
        <v>134</v>
      </c>
    </row>
    <row r="486" spans="1:14" x14ac:dyDescent="0.25">
      <c r="A486" s="99"/>
      <c r="B486" s="24" t="s">
        <v>254</v>
      </c>
      <c r="C486" s="21"/>
      <c r="D486" s="74">
        <v>64.8</v>
      </c>
      <c r="E486" s="74"/>
      <c r="F486" s="25">
        <v>12.6</v>
      </c>
      <c r="G486" s="67">
        <v>44</v>
      </c>
      <c r="H486" s="75">
        <v>5.0999999999999996</v>
      </c>
      <c r="I486" s="75">
        <v>35.700000000000003</v>
      </c>
      <c r="J486" s="75">
        <v>2.9</v>
      </c>
      <c r="K486" s="68">
        <v>0.2</v>
      </c>
      <c r="L486" s="21"/>
      <c r="M486" s="25">
        <f>15800/1000</f>
        <v>15.8</v>
      </c>
      <c r="N486" s="24" t="s">
        <v>134</v>
      </c>
    </row>
    <row r="487" spans="1:14" x14ac:dyDescent="0.25">
      <c r="A487" s="99"/>
      <c r="B487" s="24" t="s">
        <v>255</v>
      </c>
      <c r="C487" s="21" t="s">
        <v>436</v>
      </c>
      <c r="D487" s="74" t="s">
        <v>437</v>
      </c>
      <c r="E487" s="74" t="s">
        <v>438</v>
      </c>
      <c r="F487" s="25" t="s">
        <v>439</v>
      </c>
      <c r="G487" s="67" t="s">
        <v>440</v>
      </c>
      <c r="H487" s="75" t="s">
        <v>441</v>
      </c>
      <c r="I487" s="75" t="s">
        <v>442</v>
      </c>
      <c r="J487" s="75" t="s">
        <v>443</v>
      </c>
      <c r="K487" s="68" t="s">
        <v>444</v>
      </c>
      <c r="L487" s="21"/>
      <c r="M487" s="25"/>
      <c r="N487" s="24" t="s">
        <v>134</v>
      </c>
    </row>
    <row r="488" spans="1:14" x14ac:dyDescent="0.25">
      <c r="A488" s="99"/>
      <c r="B488" s="24" t="s">
        <v>256</v>
      </c>
      <c r="C488" s="21"/>
      <c r="D488" s="74">
        <v>69.5</v>
      </c>
      <c r="E488" s="74"/>
      <c r="F488" s="25">
        <v>21.2</v>
      </c>
      <c r="L488" s="21"/>
      <c r="M488" s="25">
        <f>19500/1000</f>
        <v>19.5</v>
      </c>
      <c r="N488" s="24" t="s">
        <v>134</v>
      </c>
    </row>
    <row r="489" spans="1:14" x14ac:dyDescent="0.25">
      <c r="A489" s="99"/>
      <c r="B489" s="24" t="s">
        <v>257</v>
      </c>
      <c r="C489" s="21"/>
      <c r="D489" s="74">
        <v>73.8</v>
      </c>
      <c r="E489" s="74"/>
      <c r="F489" s="25">
        <v>19.899999999999999</v>
      </c>
      <c r="K489" s="68">
        <v>1.2</v>
      </c>
      <c r="L489" s="21"/>
      <c r="M489" s="25"/>
      <c r="N489" s="24" t="s">
        <v>134</v>
      </c>
    </row>
    <row r="490" spans="1:14" x14ac:dyDescent="0.25">
      <c r="A490" s="99"/>
      <c r="B490" s="24" t="s">
        <v>258</v>
      </c>
      <c r="C490" s="21">
        <v>98</v>
      </c>
      <c r="D490" s="74"/>
      <c r="E490" s="74"/>
      <c r="F490" s="25">
        <v>0.52</v>
      </c>
      <c r="G490" s="67">
        <v>0.8</v>
      </c>
      <c r="J490" s="75">
        <v>1</v>
      </c>
      <c r="K490" s="68">
        <v>0.05</v>
      </c>
      <c r="L490" s="21"/>
      <c r="M490" s="25"/>
      <c r="N490" s="24" t="s">
        <v>134</v>
      </c>
    </row>
    <row r="491" spans="1:14" x14ac:dyDescent="0.25">
      <c r="A491" s="99"/>
      <c r="B491" s="24" t="s">
        <v>722</v>
      </c>
      <c r="C491" s="21">
        <v>12.4</v>
      </c>
      <c r="D491" s="74">
        <v>64.599999999999994</v>
      </c>
      <c r="E491" s="74">
        <v>18.600000000000001</v>
      </c>
      <c r="F491" s="25">
        <v>4.4000000000000004</v>
      </c>
      <c r="G491" s="67">
        <v>50.2</v>
      </c>
      <c r="H491" s="75">
        <v>6.3</v>
      </c>
      <c r="I491" s="75">
        <v>41.9</v>
      </c>
      <c r="J491" s="75">
        <v>1.4</v>
      </c>
      <c r="K491" s="68">
        <v>0.16</v>
      </c>
      <c r="L491" s="21"/>
      <c r="M491" s="25"/>
      <c r="N491" s="24" t="s">
        <v>579</v>
      </c>
    </row>
    <row r="492" spans="1:14" x14ac:dyDescent="0.25">
      <c r="A492" s="99"/>
      <c r="B492" s="24" t="s">
        <v>723</v>
      </c>
      <c r="C492" s="21"/>
      <c r="D492" s="74">
        <v>74</v>
      </c>
      <c r="E492" s="74">
        <v>21</v>
      </c>
      <c r="F492" s="25">
        <v>5</v>
      </c>
      <c r="G492" s="67">
        <v>50.2</v>
      </c>
      <c r="H492" s="75">
        <v>6.3</v>
      </c>
      <c r="I492" s="75">
        <v>41.9</v>
      </c>
      <c r="J492" s="75">
        <v>1.4</v>
      </c>
      <c r="K492" s="68">
        <v>0.16</v>
      </c>
      <c r="L492" s="21"/>
      <c r="M492" s="25"/>
      <c r="N492" s="24" t="s">
        <v>579</v>
      </c>
    </row>
    <row r="493" spans="1:14" x14ac:dyDescent="0.25">
      <c r="A493" s="99"/>
      <c r="B493" s="24" t="s">
        <v>259</v>
      </c>
      <c r="C493" s="21" t="s">
        <v>448</v>
      </c>
      <c r="D493" s="74" t="s">
        <v>449</v>
      </c>
      <c r="E493" s="74"/>
      <c r="F493" s="25" t="s">
        <v>450</v>
      </c>
      <c r="G493" s="67" t="s">
        <v>451</v>
      </c>
      <c r="H493" s="75" t="s">
        <v>389</v>
      </c>
      <c r="J493" s="75" t="s">
        <v>452</v>
      </c>
      <c r="L493" s="21"/>
      <c r="M493" s="25" t="s">
        <v>445</v>
      </c>
      <c r="N493" s="24" t="s">
        <v>134</v>
      </c>
    </row>
    <row r="494" spans="1:14" x14ac:dyDescent="0.25">
      <c r="A494" s="99"/>
      <c r="B494" s="24" t="s">
        <v>260</v>
      </c>
      <c r="C494" s="21"/>
      <c r="D494" s="74"/>
      <c r="E494" s="74"/>
      <c r="F494" s="25">
        <v>24.4</v>
      </c>
      <c r="G494" s="67">
        <v>37.799999999999997</v>
      </c>
      <c r="H494" s="75">
        <v>4.8</v>
      </c>
      <c r="I494" s="75">
        <v>31</v>
      </c>
      <c r="J494" s="75">
        <v>1.9</v>
      </c>
      <c r="K494" s="68">
        <v>0.1</v>
      </c>
      <c r="L494" s="21"/>
      <c r="M494" s="25">
        <f>15100/1000</f>
        <v>15.1</v>
      </c>
      <c r="N494" s="24" t="s">
        <v>134</v>
      </c>
    </row>
    <row r="495" spans="1:14" x14ac:dyDescent="0.25">
      <c r="A495" s="99"/>
      <c r="B495" s="24" t="s">
        <v>261</v>
      </c>
      <c r="C495" s="21" t="s">
        <v>453</v>
      </c>
      <c r="D495" s="74" t="s">
        <v>454</v>
      </c>
      <c r="E495" s="74" t="s">
        <v>455</v>
      </c>
      <c r="F495" s="25" t="s">
        <v>456</v>
      </c>
      <c r="G495" s="67" t="s">
        <v>457</v>
      </c>
      <c r="H495" s="75" t="s">
        <v>458</v>
      </c>
      <c r="I495" s="75" t="s">
        <v>459</v>
      </c>
      <c r="J495" s="75" t="s">
        <v>460</v>
      </c>
      <c r="K495" s="68" t="s">
        <v>461</v>
      </c>
      <c r="L495" s="21"/>
      <c r="M495" s="25" t="s">
        <v>447</v>
      </c>
      <c r="N495" s="24" t="s">
        <v>134</v>
      </c>
    </row>
    <row r="496" spans="1:14" x14ac:dyDescent="0.25">
      <c r="A496" s="99"/>
      <c r="B496" s="24" t="s">
        <v>262</v>
      </c>
      <c r="C496" s="21"/>
      <c r="D496" s="74"/>
      <c r="E496" s="74"/>
      <c r="F496" s="25"/>
      <c r="G496" s="67">
        <v>44.7</v>
      </c>
      <c r="I496" s="75">
        <v>23.9</v>
      </c>
      <c r="J496" s="75">
        <v>24.3</v>
      </c>
      <c r="K496" s="68">
        <v>0.1</v>
      </c>
      <c r="L496" s="21"/>
      <c r="M496" s="25"/>
      <c r="N496" s="24" t="s">
        <v>134</v>
      </c>
    </row>
    <row r="497" spans="1:16" x14ac:dyDescent="0.25">
      <c r="A497" s="99"/>
      <c r="B497" s="24" t="s">
        <v>263</v>
      </c>
      <c r="C497" s="21">
        <v>90</v>
      </c>
      <c r="D497" s="74">
        <v>67</v>
      </c>
      <c r="E497" s="74"/>
      <c r="F497" s="25">
        <v>32</v>
      </c>
      <c r="G497" s="67">
        <v>41</v>
      </c>
      <c r="J497" s="75">
        <v>4.5999999999999996</v>
      </c>
      <c r="K497" s="68">
        <v>0.46</v>
      </c>
      <c r="L497" s="21"/>
      <c r="M497" s="25"/>
      <c r="N497" s="24" t="s">
        <v>134</v>
      </c>
    </row>
    <row r="498" spans="1:16" x14ac:dyDescent="0.25">
      <c r="A498" s="99"/>
      <c r="B498" s="24" t="s">
        <v>264</v>
      </c>
      <c r="C498" s="21"/>
      <c r="D498" s="74"/>
      <c r="E498" s="74"/>
      <c r="F498" s="25"/>
      <c r="J498" s="75">
        <v>2.8</v>
      </c>
      <c r="K498" s="68">
        <v>1.18</v>
      </c>
      <c r="L498" s="21"/>
      <c r="M498" s="25" t="s">
        <v>446</v>
      </c>
      <c r="N498" s="24" t="s">
        <v>134</v>
      </c>
    </row>
    <row r="499" spans="1:16" x14ac:dyDescent="0.25">
      <c r="A499" s="100"/>
      <c r="B499" s="51" t="s">
        <v>6</v>
      </c>
      <c r="C499" s="26">
        <v>43.6</v>
      </c>
      <c r="D499" s="27">
        <v>39.200000000000003</v>
      </c>
      <c r="E499" s="35"/>
      <c r="F499" s="28">
        <v>17.2</v>
      </c>
      <c r="G499" s="61">
        <v>50.2</v>
      </c>
      <c r="H499" s="62">
        <v>6.5</v>
      </c>
      <c r="I499" s="62">
        <v>34.6</v>
      </c>
      <c r="J499" s="62">
        <v>5.2</v>
      </c>
      <c r="K499" s="63">
        <v>0.9</v>
      </c>
      <c r="L499" s="26"/>
      <c r="M499" s="28">
        <v>14.2</v>
      </c>
      <c r="N499" s="51" t="s">
        <v>22</v>
      </c>
    </row>
    <row r="500" spans="1:16" x14ac:dyDescent="0.25">
      <c r="A500" s="98" t="s">
        <v>41</v>
      </c>
      <c r="B500" s="50" t="s">
        <v>8</v>
      </c>
      <c r="C500" s="37">
        <v>90</v>
      </c>
      <c r="D500" s="32">
        <v>7.8</v>
      </c>
      <c r="E500" s="30"/>
      <c r="F500" s="33">
        <v>2.2000000000000002</v>
      </c>
      <c r="G500" s="64">
        <v>53</v>
      </c>
      <c r="H500" s="65">
        <v>6.8</v>
      </c>
      <c r="I500" s="65">
        <v>37.200000000000003</v>
      </c>
      <c r="J500" s="65">
        <v>2.5</v>
      </c>
      <c r="K500" s="66">
        <v>0.5</v>
      </c>
      <c r="L500" s="37"/>
      <c r="M500" s="33">
        <v>16</v>
      </c>
      <c r="N500" s="50" t="s">
        <v>22</v>
      </c>
    </row>
    <row r="501" spans="1:16" x14ac:dyDescent="0.25">
      <c r="A501" s="99"/>
      <c r="B501" s="24" t="s">
        <v>750</v>
      </c>
      <c r="C501" s="18">
        <v>10.7</v>
      </c>
      <c r="D501" s="73">
        <v>45.1</v>
      </c>
      <c r="E501" s="74">
        <v>23.1</v>
      </c>
      <c r="F501" s="19">
        <v>21.1</v>
      </c>
      <c r="G501" s="58">
        <v>43.2</v>
      </c>
      <c r="H501" s="59">
        <v>6.2</v>
      </c>
      <c r="I501" s="59">
        <v>45.8</v>
      </c>
      <c r="J501" s="59">
        <v>2.2000000000000002</v>
      </c>
      <c r="K501" s="60">
        <v>2.6</v>
      </c>
      <c r="L501" s="18"/>
      <c r="M501" s="19"/>
      <c r="N501" s="24" t="s">
        <v>579</v>
      </c>
    </row>
    <row r="502" spans="1:16" x14ac:dyDescent="0.25">
      <c r="A502" s="99"/>
      <c r="B502" s="24" t="s">
        <v>751</v>
      </c>
      <c r="C502" s="18"/>
      <c r="D502" s="73">
        <v>50.5</v>
      </c>
      <c r="E502" s="74">
        <v>25.9</v>
      </c>
      <c r="F502" s="19">
        <v>23.6</v>
      </c>
      <c r="G502" s="58">
        <v>43.2</v>
      </c>
      <c r="H502" s="59">
        <v>6.2</v>
      </c>
      <c r="I502" s="59">
        <v>45.8</v>
      </c>
      <c r="J502" s="59">
        <v>2.2000000000000002</v>
      </c>
      <c r="K502" s="60">
        <v>2.6</v>
      </c>
      <c r="L502" s="18"/>
      <c r="M502" s="19"/>
      <c r="N502" s="24" t="s">
        <v>579</v>
      </c>
    </row>
    <row r="503" spans="1:16" x14ac:dyDescent="0.25">
      <c r="A503" s="99"/>
      <c r="B503" s="24" t="s">
        <v>571</v>
      </c>
      <c r="C503" s="18">
        <v>13.7</v>
      </c>
      <c r="D503" s="73">
        <v>68.400000000000006</v>
      </c>
      <c r="E503" s="74">
        <v>10.1</v>
      </c>
      <c r="F503" s="19">
        <v>7.8</v>
      </c>
      <c r="G503" s="58">
        <v>49.7</v>
      </c>
      <c r="H503" s="59">
        <v>6.98</v>
      </c>
      <c r="I503" s="59">
        <v>39.799999999999997</v>
      </c>
      <c r="J503" s="59">
        <v>10.92</v>
      </c>
      <c r="K503" s="60"/>
      <c r="L503" s="18"/>
      <c r="M503" s="19">
        <v>18.2</v>
      </c>
      <c r="N503" s="24" t="s">
        <v>570</v>
      </c>
    </row>
    <row r="504" spans="1:16" x14ac:dyDescent="0.25">
      <c r="A504" s="99"/>
      <c r="B504" s="24" t="s">
        <v>9</v>
      </c>
      <c r="C504" s="18">
        <v>90</v>
      </c>
      <c r="D504" s="73">
        <v>6.1</v>
      </c>
      <c r="E504" s="74"/>
      <c r="F504" s="19">
        <v>3.9</v>
      </c>
      <c r="G504" s="58">
        <v>45.3</v>
      </c>
      <c r="H504" s="59">
        <v>6.1</v>
      </c>
      <c r="I504" s="59">
        <v>46.1</v>
      </c>
      <c r="J504" s="59">
        <v>2</v>
      </c>
      <c r="K504" s="60">
        <v>0.6</v>
      </c>
      <c r="L504" s="18"/>
      <c r="M504" s="19">
        <v>10</v>
      </c>
      <c r="N504" s="24" t="s">
        <v>22</v>
      </c>
    </row>
    <row r="505" spans="1:16" ht="15" customHeight="1" x14ac:dyDescent="0.25">
      <c r="A505" s="98" t="s">
        <v>246</v>
      </c>
      <c r="B505" s="50" t="s">
        <v>10</v>
      </c>
      <c r="C505" s="37">
        <v>7.3</v>
      </c>
      <c r="D505" s="32">
        <v>84.6</v>
      </c>
      <c r="E505" s="30"/>
      <c r="F505" s="33">
        <v>8.1</v>
      </c>
      <c r="G505" s="64">
        <v>75.599999999999994</v>
      </c>
      <c r="H505" s="65">
        <v>5.9</v>
      </c>
      <c r="I505" s="65">
        <v>15.7</v>
      </c>
      <c r="J505" s="65">
        <v>1.8</v>
      </c>
      <c r="K505" s="66">
        <v>1.1000000000000001</v>
      </c>
      <c r="L505" s="37"/>
      <c r="M505" s="33">
        <v>28.3</v>
      </c>
      <c r="N505" s="50" t="s">
        <v>22</v>
      </c>
      <c r="O505" s="2"/>
      <c r="P505" s="4"/>
    </row>
    <row r="506" spans="1:16" x14ac:dyDescent="0.25">
      <c r="A506" s="99"/>
      <c r="B506" s="50" t="s">
        <v>764</v>
      </c>
      <c r="C506" s="18">
        <v>3.1</v>
      </c>
      <c r="D506" s="73">
        <v>29.1</v>
      </c>
      <c r="E506" s="74">
        <v>52.6</v>
      </c>
      <c r="F506" s="19">
        <v>15.2</v>
      </c>
      <c r="G506" s="58">
        <v>83.1</v>
      </c>
      <c r="H506" s="59">
        <v>5</v>
      </c>
      <c r="I506" s="59">
        <v>9.5</v>
      </c>
      <c r="J506" s="59">
        <v>1.3</v>
      </c>
      <c r="K506" s="60">
        <v>1.1000000000000001</v>
      </c>
      <c r="L506" s="18"/>
      <c r="M506" s="19"/>
      <c r="N506" s="24" t="s">
        <v>579</v>
      </c>
    </row>
    <row r="507" spans="1:16" x14ac:dyDescent="0.25">
      <c r="A507" s="99"/>
      <c r="B507" s="24" t="s">
        <v>765</v>
      </c>
      <c r="C507" s="18"/>
      <c r="D507" s="73">
        <v>30</v>
      </c>
      <c r="E507" s="74">
        <v>54.3</v>
      </c>
      <c r="F507" s="19">
        <v>15.7</v>
      </c>
      <c r="G507" s="58">
        <v>83.1</v>
      </c>
      <c r="H507" s="59">
        <v>5</v>
      </c>
      <c r="I507" s="59">
        <v>9.5</v>
      </c>
      <c r="J507" s="59">
        <v>1.3</v>
      </c>
      <c r="K507" s="60">
        <v>1.1000000000000001</v>
      </c>
      <c r="L507" s="18"/>
      <c r="M507" s="19"/>
      <c r="N507" s="24" t="s">
        <v>579</v>
      </c>
    </row>
    <row r="508" spans="1:16" x14ac:dyDescent="0.25">
      <c r="A508" s="99"/>
      <c r="B508" s="24" t="s">
        <v>296</v>
      </c>
      <c r="C508" s="18"/>
      <c r="D508" s="73"/>
      <c r="E508" s="74"/>
      <c r="F508" s="19">
        <v>3.8</v>
      </c>
      <c r="G508" s="58">
        <v>87.9</v>
      </c>
      <c r="H508" s="59">
        <v>7.4</v>
      </c>
      <c r="I508" s="59">
        <v>3.3</v>
      </c>
      <c r="J508" s="59">
        <v>0.3</v>
      </c>
      <c r="K508" s="60">
        <v>1.1000000000000001</v>
      </c>
      <c r="L508" s="18">
        <v>37</v>
      </c>
      <c r="M508" s="19">
        <v>38.6</v>
      </c>
      <c r="N508" s="24" t="s">
        <v>293</v>
      </c>
    </row>
    <row r="509" spans="1:16" x14ac:dyDescent="0.25">
      <c r="A509" s="99"/>
      <c r="B509" s="24" t="s">
        <v>480</v>
      </c>
      <c r="C509" s="18"/>
      <c r="D509" s="73">
        <v>72.7</v>
      </c>
      <c r="E509" s="74">
        <v>24.3</v>
      </c>
      <c r="F509" s="19">
        <v>3</v>
      </c>
      <c r="G509" s="58">
        <v>50.1</v>
      </c>
      <c r="H509" s="59">
        <v>5.4</v>
      </c>
      <c r="I509" s="59">
        <v>40.299999999999997</v>
      </c>
      <c r="J509" s="59">
        <v>0.8</v>
      </c>
      <c r="K509" s="60">
        <v>0.1</v>
      </c>
      <c r="L509" s="18"/>
      <c r="M509" s="19"/>
      <c r="N509" s="24" t="s">
        <v>309</v>
      </c>
      <c r="P509" s="6" t="s">
        <v>482</v>
      </c>
    </row>
    <row r="510" spans="1:16" x14ac:dyDescent="0.25">
      <c r="A510" s="99"/>
      <c r="B510" s="24" t="s">
        <v>481</v>
      </c>
      <c r="C510" s="18"/>
      <c r="D510" s="73">
        <v>68.400000000000006</v>
      </c>
      <c r="E510" s="74">
        <v>27.4</v>
      </c>
      <c r="F510" s="19">
        <v>4.3</v>
      </c>
      <c r="G510" s="58">
        <v>54.5</v>
      </c>
      <c r="H510" s="59">
        <v>5.6</v>
      </c>
      <c r="I510" s="59">
        <v>33.6</v>
      </c>
      <c r="J510" s="59">
        <v>1.8</v>
      </c>
      <c r="K510" s="60">
        <v>0.2</v>
      </c>
      <c r="L510" s="18"/>
      <c r="M510" s="19"/>
      <c r="N510" s="24" t="s">
        <v>309</v>
      </c>
      <c r="P510" s="6" t="s">
        <v>482</v>
      </c>
    </row>
    <row r="511" spans="1:16" x14ac:dyDescent="0.25">
      <c r="A511" s="99"/>
      <c r="B511" s="24" t="s">
        <v>315</v>
      </c>
      <c r="C511" s="18">
        <v>9.6999999999999993</v>
      </c>
      <c r="D511" s="73"/>
      <c r="E511" s="74"/>
      <c r="F511" s="19">
        <v>1.1000000000000001</v>
      </c>
      <c r="G511" s="58">
        <v>57.9</v>
      </c>
      <c r="H511" s="59">
        <v>6.1</v>
      </c>
      <c r="I511" s="59">
        <v>34.9</v>
      </c>
      <c r="J511" s="59">
        <v>0.9</v>
      </c>
      <c r="K511" s="60">
        <v>0.2</v>
      </c>
      <c r="L511" s="18"/>
      <c r="M511" s="19">
        <v>18.899999999999999</v>
      </c>
      <c r="N511" s="24" t="s">
        <v>309</v>
      </c>
      <c r="P511" s="6" t="s">
        <v>316</v>
      </c>
    </row>
    <row r="512" spans="1:16" x14ac:dyDescent="0.25">
      <c r="A512" s="99"/>
      <c r="B512" s="24" t="s">
        <v>752</v>
      </c>
      <c r="C512" s="18">
        <v>14.6</v>
      </c>
      <c r="D512" s="73">
        <v>57.8</v>
      </c>
      <c r="E512" s="74">
        <v>24.3</v>
      </c>
      <c r="F512" s="19">
        <v>3.3</v>
      </c>
      <c r="G512" s="58">
        <v>56.3</v>
      </c>
      <c r="H512" s="59">
        <v>5.8</v>
      </c>
      <c r="I512" s="59">
        <v>36.200000000000003</v>
      </c>
      <c r="J512" s="59">
        <v>1.5</v>
      </c>
      <c r="K512" s="60">
        <v>0.2</v>
      </c>
      <c r="L512" s="18"/>
      <c r="M512" s="19"/>
      <c r="N512" s="24" t="s">
        <v>579</v>
      </c>
    </row>
    <row r="513" spans="1:16" x14ac:dyDescent="0.25">
      <c r="A513" s="99"/>
      <c r="B513" s="24" t="s">
        <v>753</v>
      </c>
      <c r="C513" s="18"/>
      <c r="D513" s="73">
        <v>67.599999999999994</v>
      </c>
      <c r="E513" s="74">
        <v>28.5</v>
      </c>
      <c r="F513" s="19">
        <v>3.9</v>
      </c>
      <c r="G513" s="58">
        <v>56.3</v>
      </c>
      <c r="H513" s="59">
        <v>5.8</v>
      </c>
      <c r="I513" s="59">
        <v>36.200000000000003</v>
      </c>
      <c r="J513" s="59">
        <v>1.5</v>
      </c>
      <c r="K513" s="60">
        <v>0.2</v>
      </c>
      <c r="L513" s="18"/>
      <c r="M513" s="19"/>
      <c r="N513" s="24" t="s">
        <v>579</v>
      </c>
    </row>
    <row r="514" spans="1:16" x14ac:dyDescent="0.25">
      <c r="A514" s="99"/>
      <c r="B514" s="24" t="s">
        <v>754</v>
      </c>
      <c r="C514" s="18">
        <v>5.5</v>
      </c>
      <c r="D514" s="73">
        <v>30.8</v>
      </c>
      <c r="E514" s="74">
        <v>43.9</v>
      </c>
      <c r="F514" s="19">
        <v>19.8</v>
      </c>
      <c r="G514" s="58">
        <v>78.2</v>
      </c>
      <c r="H514" s="59">
        <v>5.2</v>
      </c>
      <c r="I514" s="59">
        <v>13.6</v>
      </c>
      <c r="J514" s="59">
        <v>1.3</v>
      </c>
      <c r="K514" s="60">
        <v>1.7</v>
      </c>
      <c r="L514" s="18"/>
      <c r="M514" s="19"/>
      <c r="N514" s="24" t="s">
        <v>579</v>
      </c>
    </row>
    <row r="515" spans="1:16" x14ac:dyDescent="0.25">
      <c r="A515" s="99"/>
      <c r="B515" s="24" t="s">
        <v>755</v>
      </c>
      <c r="C515" s="18"/>
      <c r="D515" s="73">
        <v>32.799999999999997</v>
      </c>
      <c r="E515" s="74">
        <v>46.3</v>
      </c>
      <c r="F515" s="19">
        <v>20.9</v>
      </c>
      <c r="G515" s="58">
        <v>78.2</v>
      </c>
      <c r="H515" s="59">
        <v>5.2</v>
      </c>
      <c r="I515" s="59">
        <v>13.6</v>
      </c>
      <c r="J515" s="59">
        <v>1.3</v>
      </c>
      <c r="K515" s="60">
        <v>1.7</v>
      </c>
      <c r="L515" s="18"/>
      <c r="M515" s="19"/>
      <c r="N515" s="24" t="s">
        <v>579</v>
      </c>
    </row>
    <row r="516" spans="1:16" x14ac:dyDescent="0.25">
      <c r="A516" s="99"/>
      <c r="B516" s="24" t="s">
        <v>756</v>
      </c>
      <c r="C516" s="18">
        <v>0.4</v>
      </c>
      <c r="D516" s="73">
        <v>12.2</v>
      </c>
      <c r="E516" s="74">
        <v>17.899999999999999</v>
      </c>
      <c r="F516" s="19">
        <v>5</v>
      </c>
      <c r="G516" s="58">
        <v>62.9</v>
      </c>
      <c r="H516" s="59">
        <v>3.5</v>
      </c>
      <c r="I516" s="59">
        <v>4.4000000000000004</v>
      </c>
      <c r="J516" s="59">
        <v>0.5</v>
      </c>
      <c r="K516" s="60">
        <v>0.2</v>
      </c>
      <c r="L516" s="18"/>
      <c r="M516" s="19"/>
      <c r="N516" s="24" t="s">
        <v>579</v>
      </c>
    </row>
    <row r="517" spans="1:16" x14ac:dyDescent="0.25">
      <c r="A517" s="99"/>
      <c r="B517" s="24" t="s">
        <v>757</v>
      </c>
      <c r="C517" s="18"/>
      <c r="D517" s="73">
        <v>12.4</v>
      </c>
      <c r="E517" s="74">
        <v>20</v>
      </c>
      <c r="F517" s="19">
        <v>5.7</v>
      </c>
      <c r="G517" s="58">
        <v>62.9</v>
      </c>
      <c r="H517" s="59">
        <v>3.5</v>
      </c>
      <c r="I517" s="59">
        <v>4.4000000000000004</v>
      </c>
      <c r="J517" s="59">
        <v>0.5</v>
      </c>
      <c r="K517" s="60">
        <v>0.2</v>
      </c>
      <c r="L517" s="18"/>
      <c r="M517" s="19"/>
      <c r="N517" s="24" t="s">
        <v>579</v>
      </c>
    </row>
    <row r="518" spans="1:16" x14ac:dyDescent="0.25">
      <c r="A518" s="99"/>
      <c r="B518" s="24" t="s">
        <v>758</v>
      </c>
      <c r="C518" s="18">
        <v>20.2</v>
      </c>
      <c r="D518" s="73">
        <v>44.5</v>
      </c>
      <c r="E518" s="74">
        <v>70.400000000000006</v>
      </c>
      <c r="F518" s="19">
        <v>48.9</v>
      </c>
      <c r="G518" s="58">
        <v>86.9</v>
      </c>
      <c r="H518" s="59">
        <v>6.3</v>
      </c>
      <c r="I518" s="59">
        <v>29.9</v>
      </c>
      <c r="J518" s="59">
        <v>2.9</v>
      </c>
      <c r="K518" s="60">
        <v>9.8000000000000007</v>
      </c>
      <c r="L518" s="18"/>
      <c r="M518" s="19"/>
      <c r="N518" s="24" t="s">
        <v>579</v>
      </c>
    </row>
    <row r="519" spans="1:16" x14ac:dyDescent="0.25">
      <c r="A519" s="99"/>
      <c r="B519" s="24" t="s">
        <v>759</v>
      </c>
      <c r="C519" s="18"/>
      <c r="D519" s="73">
        <v>51.8</v>
      </c>
      <c r="E519" s="74">
        <v>71.8</v>
      </c>
      <c r="F519" s="19">
        <v>52</v>
      </c>
      <c r="G519" s="58">
        <v>86.9</v>
      </c>
      <c r="H519" s="59">
        <v>6.3</v>
      </c>
      <c r="I519" s="59">
        <v>29.9</v>
      </c>
      <c r="J519" s="59">
        <v>2.9</v>
      </c>
      <c r="K519" s="60">
        <v>9.8000000000000007</v>
      </c>
      <c r="L519" s="18"/>
      <c r="M519" s="19"/>
      <c r="N519" s="24" t="s">
        <v>579</v>
      </c>
    </row>
    <row r="520" spans="1:16" x14ac:dyDescent="0.25">
      <c r="A520" s="99"/>
      <c r="B520" s="24" t="s">
        <v>760</v>
      </c>
      <c r="C520" s="18">
        <v>10.5</v>
      </c>
      <c r="D520" s="73">
        <v>32.799999999999997</v>
      </c>
      <c r="E520" s="74">
        <v>25.7</v>
      </c>
      <c r="F520" s="19">
        <v>31</v>
      </c>
      <c r="G520" s="58">
        <v>64</v>
      </c>
      <c r="H520" s="59">
        <v>5.5</v>
      </c>
      <c r="I520" s="59">
        <v>23.7</v>
      </c>
      <c r="J520" s="59">
        <v>1</v>
      </c>
      <c r="K520" s="60">
        <v>5.8</v>
      </c>
      <c r="L520" s="18"/>
      <c r="M520" s="19"/>
      <c r="N520" s="24" t="s">
        <v>579</v>
      </c>
    </row>
    <row r="521" spans="1:16" x14ac:dyDescent="0.25">
      <c r="A521" s="99"/>
      <c r="B521" s="24" t="s">
        <v>761</v>
      </c>
      <c r="C521" s="18"/>
      <c r="D521" s="73">
        <v>36.700000000000003</v>
      </c>
      <c r="E521" s="74">
        <v>28.7</v>
      </c>
      <c r="F521" s="19">
        <v>34.6</v>
      </c>
      <c r="G521" s="58">
        <v>64</v>
      </c>
      <c r="H521" s="59">
        <v>5.5</v>
      </c>
      <c r="I521" s="59">
        <v>23.7</v>
      </c>
      <c r="J521" s="59">
        <v>1</v>
      </c>
      <c r="K521" s="60">
        <v>5.8</v>
      </c>
      <c r="L521" s="18"/>
      <c r="M521" s="19"/>
      <c r="N521" s="24" t="s">
        <v>579</v>
      </c>
    </row>
    <row r="522" spans="1:16" x14ac:dyDescent="0.25">
      <c r="A522" s="99"/>
      <c r="B522" s="24" t="s">
        <v>762</v>
      </c>
      <c r="C522" s="18">
        <v>8.1999999999999993</v>
      </c>
      <c r="D522" s="73">
        <v>33.4</v>
      </c>
      <c r="E522" s="74">
        <v>34.1</v>
      </c>
      <c r="F522" s="19">
        <v>24.3</v>
      </c>
      <c r="G522" s="58">
        <v>74.400000000000006</v>
      </c>
      <c r="H522" s="59">
        <v>5.6</v>
      </c>
      <c r="I522" s="59">
        <v>17.7</v>
      </c>
      <c r="J522" s="59">
        <v>1.4</v>
      </c>
      <c r="K522" s="60">
        <v>0.9</v>
      </c>
      <c r="L522" s="18"/>
      <c r="M522" s="19"/>
      <c r="N522" s="24" t="s">
        <v>579</v>
      </c>
    </row>
    <row r="523" spans="1:16" x14ac:dyDescent="0.25">
      <c r="A523" s="99"/>
      <c r="B523" s="24" t="s">
        <v>763</v>
      </c>
      <c r="C523" s="18"/>
      <c r="D523" s="73">
        <v>36.4</v>
      </c>
      <c r="E523" s="74">
        <v>37.200000000000003</v>
      </c>
      <c r="F523" s="19">
        <v>26.4</v>
      </c>
      <c r="G523" s="58">
        <v>74.400000000000006</v>
      </c>
      <c r="H523" s="59">
        <v>5.6</v>
      </c>
      <c r="I523" s="59">
        <v>17.7</v>
      </c>
      <c r="J523" s="59">
        <v>1.4</v>
      </c>
      <c r="K523" s="60">
        <v>0.9</v>
      </c>
      <c r="L523" s="18"/>
      <c r="M523" s="19"/>
      <c r="N523" s="24" t="s">
        <v>579</v>
      </c>
    </row>
    <row r="524" spans="1:16" x14ac:dyDescent="0.25">
      <c r="A524" s="99"/>
      <c r="B524" s="24" t="s">
        <v>724</v>
      </c>
      <c r="C524" s="18">
        <v>2.5</v>
      </c>
      <c r="D524" s="73">
        <v>61.7</v>
      </c>
      <c r="E524" s="74">
        <v>12.4</v>
      </c>
      <c r="F524" s="19">
        <v>23.4</v>
      </c>
      <c r="G524" s="58">
        <v>57.3</v>
      </c>
      <c r="H524" s="59">
        <v>8</v>
      </c>
      <c r="I524" s="59">
        <v>20.8</v>
      </c>
      <c r="J524" s="59">
        <v>12.2</v>
      </c>
      <c r="K524" s="60">
        <v>1.69</v>
      </c>
      <c r="L524" s="18"/>
      <c r="M524" s="19"/>
      <c r="N524" s="24" t="s">
        <v>579</v>
      </c>
    </row>
    <row r="525" spans="1:16" x14ac:dyDescent="0.25">
      <c r="A525" s="99"/>
      <c r="B525" s="24" t="s">
        <v>725</v>
      </c>
      <c r="C525" s="18"/>
      <c r="D525" s="73">
        <v>63.3</v>
      </c>
      <c r="E525" s="74">
        <v>12.7</v>
      </c>
      <c r="F525" s="19">
        <v>24</v>
      </c>
      <c r="G525" s="58">
        <v>57.3</v>
      </c>
      <c r="H525" s="59">
        <v>8</v>
      </c>
      <c r="I525" s="59">
        <v>20.8</v>
      </c>
      <c r="J525" s="59">
        <v>12.2</v>
      </c>
      <c r="K525" s="60">
        <v>1.69</v>
      </c>
      <c r="L525" s="18"/>
      <c r="M525" s="19"/>
      <c r="N525" s="24" t="s">
        <v>579</v>
      </c>
    </row>
    <row r="526" spans="1:16" x14ac:dyDescent="0.25">
      <c r="A526" s="99"/>
      <c r="B526" s="24" t="s">
        <v>726</v>
      </c>
      <c r="C526" s="18">
        <v>8.8000000000000007</v>
      </c>
      <c r="D526" s="73">
        <v>63.3</v>
      </c>
      <c r="E526" s="74">
        <v>16.5</v>
      </c>
      <c r="F526" s="19">
        <v>11.4</v>
      </c>
      <c r="G526" s="58">
        <v>56.7</v>
      </c>
      <c r="H526" s="59">
        <v>6.6</v>
      </c>
      <c r="I526" s="59">
        <v>33.1</v>
      </c>
      <c r="J526" s="59">
        <v>2.7</v>
      </c>
      <c r="K526" s="60">
        <v>0.85</v>
      </c>
      <c r="L526" s="18"/>
      <c r="M526" s="19"/>
      <c r="N526" s="24" t="s">
        <v>579</v>
      </c>
    </row>
    <row r="527" spans="1:16" x14ac:dyDescent="0.25">
      <c r="A527" s="99"/>
      <c r="B527" s="24" t="s">
        <v>727</v>
      </c>
      <c r="C527" s="18"/>
      <c r="D527" s="73">
        <v>69.400000000000006</v>
      </c>
      <c r="E527" s="74">
        <v>18.100000000000001</v>
      </c>
      <c r="F527" s="19">
        <v>12.5</v>
      </c>
      <c r="G527" s="58">
        <v>56.7</v>
      </c>
      <c r="H527" s="59">
        <v>6.6</v>
      </c>
      <c r="I527" s="59">
        <v>33.1</v>
      </c>
      <c r="J527" s="59">
        <v>2.7</v>
      </c>
      <c r="K527" s="60">
        <v>0.85</v>
      </c>
      <c r="L527" s="18"/>
      <c r="M527" s="19"/>
      <c r="N527" s="24" t="s">
        <v>579</v>
      </c>
    </row>
    <row r="528" spans="1:16" x14ac:dyDescent="0.25">
      <c r="A528" s="99"/>
      <c r="B528" s="24" t="s">
        <v>510</v>
      </c>
      <c r="C528" s="18">
        <v>4.5</v>
      </c>
      <c r="D528" s="73"/>
      <c r="E528" s="74"/>
      <c r="F528" s="19">
        <v>3</v>
      </c>
      <c r="G528" s="58">
        <v>67.2</v>
      </c>
      <c r="H528" s="59">
        <v>6</v>
      </c>
      <c r="I528" s="59">
        <v>26.8</v>
      </c>
      <c r="J528" s="59"/>
      <c r="K528" s="60"/>
      <c r="L528" s="18"/>
      <c r="M528" s="19"/>
      <c r="N528" s="24" t="s">
        <v>309</v>
      </c>
      <c r="P528" s="6" t="s">
        <v>511</v>
      </c>
    </row>
    <row r="529" spans="1:16" x14ac:dyDescent="0.25">
      <c r="A529" s="99"/>
      <c r="B529" s="24" t="s">
        <v>11</v>
      </c>
      <c r="C529" s="18">
        <v>0</v>
      </c>
      <c r="D529" s="73">
        <v>100</v>
      </c>
      <c r="E529" s="74"/>
      <c r="F529" s="19">
        <v>0</v>
      </c>
      <c r="G529" s="58">
        <v>44.4</v>
      </c>
      <c r="H529" s="59">
        <v>6.2</v>
      </c>
      <c r="I529" s="59">
        <v>49.3</v>
      </c>
      <c r="J529" s="59">
        <v>0</v>
      </c>
      <c r="K529" s="60">
        <v>0</v>
      </c>
      <c r="L529" s="18"/>
      <c r="M529" s="19">
        <v>17.5</v>
      </c>
      <c r="N529" s="24" t="s">
        <v>22</v>
      </c>
    </row>
    <row r="530" spans="1:16" x14ac:dyDescent="0.25">
      <c r="A530" s="99"/>
      <c r="B530" s="15" t="s">
        <v>766</v>
      </c>
      <c r="C530" s="5">
        <v>14.4</v>
      </c>
      <c r="D530" s="73">
        <v>64.3</v>
      </c>
      <c r="E530" s="74">
        <v>15.3</v>
      </c>
      <c r="F530" s="6">
        <v>6</v>
      </c>
      <c r="G530" s="67">
        <v>51.3</v>
      </c>
      <c r="H530" s="75">
        <v>6.3</v>
      </c>
      <c r="I530" s="75">
        <v>41</v>
      </c>
      <c r="J530" s="75">
        <v>1.2</v>
      </c>
      <c r="K530" s="68">
        <v>0.19</v>
      </c>
      <c r="N530" s="79" t="s">
        <v>579</v>
      </c>
    </row>
    <row r="531" spans="1:16" x14ac:dyDescent="0.25">
      <c r="A531" s="99"/>
      <c r="B531" s="15" t="s">
        <v>769</v>
      </c>
      <c r="D531" s="73">
        <v>75.400000000000006</v>
      </c>
      <c r="E531" s="74">
        <v>17.8</v>
      </c>
      <c r="F531" s="6">
        <v>6.8</v>
      </c>
      <c r="G531" s="67">
        <v>51.3</v>
      </c>
      <c r="H531" s="75">
        <v>6.3</v>
      </c>
      <c r="I531" s="75">
        <v>41</v>
      </c>
      <c r="J531" s="75">
        <v>1.2</v>
      </c>
      <c r="K531" s="68">
        <v>0.19</v>
      </c>
      <c r="N531" s="79" t="s">
        <v>579</v>
      </c>
    </row>
    <row r="532" spans="1:16" x14ac:dyDescent="0.25">
      <c r="A532" s="99"/>
      <c r="B532" s="15" t="s">
        <v>772</v>
      </c>
      <c r="C532" s="5">
        <v>2.5</v>
      </c>
      <c r="D532" s="73">
        <v>30.4</v>
      </c>
      <c r="E532" s="74">
        <v>0.5</v>
      </c>
      <c r="F532" s="6">
        <v>0.1</v>
      </c>
      <c r="G532" s="67">
        <v>42.2</v>
      </c>
      <c r="H532" s="75">
        <v>3.2</v>
      </c>
      <c r="I532" s="75">
        <v>16.399999999999999</v>
      </c>
      <c r="J532" s="75">
        <v>0.1</v>
      </c>
      <c r="K532" s="68">
        <v>0.01</v>
      </c>
      <c r="N532" s="79" t="s">
        <v>579</v>
      </c>
    </row>
    <row r="533" spans="1:16" x14ac:dyDescent="0.25">
      <c r="A533" s="99"/>
      <c r="B533" s="15" t="s">
        <v>771</v>
      </c>
      <c r="D533" s="73">
        <v>47.8</v>
      </c>
      <c r="E533" s="74">
        <v>0.5</v>
      </c>
      <c r="F533" s="6">
        <v>0.1</v>
      </c>
      <c r="G533" s="67">
        <v>42.2</v>
      </c>
      <c r="H533" s="75">
        <v>3.2</v>
      </c>
      <c r="I533" s="75">
        <v>16.399999999999999</v>
      </c>
      <c r="J533" s="75">
        <v>0.1</v>
      </c>
      <c r="K533" s="68">
        <v>0.01</v>
      </c>
      <c r="N533" s="79" t="s">
        <v>579</v>
      </c>
    </row>
    <row r="534" spans="1:16" x14ac:dyDescent="0.25">
      <c r="A534" s="99"/>
      <c r="B534" s="15" t="s">
        <v>768</v>
      </c>
      <c r="C534" s="5">
        <v>62.9</v>
      </c>
      <c r="D534" s="73">
        <v>79.7</v>
      </c>
      <c r="E534" s="74">
        <v>35.299999999999997</v>
      </c>
      <c r="F534" s="6">
        <v>43.3</v>
      </c>
      <c r="G534" s="67">
        <v>70.900000000000006</v>
      </c>
      <c r="H534" s="75">
        <v>11.2</v>
      </c>
      <c r="I534" s="75">
        <v>49</v>
      </c>
      <c r="J534" s="75">
        <v>12.2</v>
      </c>
      <c r="K534" s="68">
        <v>2.33</v>
      </c>
      <c r="N534" s="79" t="s">
        <v>579</v>
      </c>
    </row>
    <row r="535" spans="1:16" x14ac:dyDescent="0.25">
      <c r="A535" s="99"/>
      <c r="B535" s="15" t="s">
        <v>770</v>
      </c>
      <c r="D535" s="73">
        <v>86.3</v>
      </c>
      <c r="E535" s="74">
        <v>37.9</v>
      </c>
      <c r="F535" s="6">
        <v>46.3</v>
      </c>
      <c r="G535" s="67">
        <v>70.900000000000006</v>
      </c>
      <c r="H535" s="75">
        <v>11.2</v>
      </c>
      <c r="I535" s="75">
        <v>49</v>
      </c>
      <c r="J535" s="75">
        <v>12.2</v>
      </c>
      <c r="K535" s="68">
        <v>2.33</v>
      </c>
      <c r="N535" s="79" t="s">
        <v>579</v>
      </c>
    </row>
    <row r="536" spans="1:16" x14ac:dyDescent="0.25">
      <c r="A536" s="99"/>
      <c r="B536" s="15" t="s">
        <v>767</v>
      </c>
      <c r="C536" s="5">
        <v>14.7</v>
      </c>
      <c r="D536" s="73">
        <v>64.400000000000006</v>
      </c>
      <c r="E536" s="74">
        <v>16</v>
      </c>
      <c r="F536" s="6">
        <v>4.9000000000000004</v>
      </c>
      <c r="G536" s="67">
        <v>51.1</v>
      </c>
      <c r="H536" s="75">
        <v>6.2</v>
      </c>
      <c r="I536" s="75">
        <v>41.4</v>
      </c>
      <c r="J536" s="75">
        <v>1.1000000000000001</v>
      </c>
      <c r="K536" s="68">
        <v>0.2</v>
      </c>
      <c r="N536" s="79" t="s">
        <v>579</v>
      </c>
    </row>
    <row r="537" spans="1:16" x14ac:dyDescent="0.25">
      <c r="A537" s="99"/>
      <c r="B537" s="15" t="s">
        <v>775</v>
      </c>
      <c r="D537" s="73">
        <v>75.8</v>
      </c>
      <c r="E537" s="74">
        <v>18.600000000000001</v>
      </c>
      <c r="F537" s="6">
        <v>5.6</v>
      </c>
      <c r="G537" s="67">
        <v>51.1</v>
      </c>
      <c r="H537" s="75">
        <v>6.2</v>
      </c>
      <c r="I537" s="75">
        <v>41.4</v>
      </c>
      <c r="J537" s="75">
        <v>1.1000000000000001</v>
      </c>
      <c r="K537" s="68">
        <v>0.2</v>
      </c>
      <c r="N537" s="79" t="s">
        <v>579</v>
      </c>
    </row>
    <row r="538" spans="1:16" x14ac:dyDescent="0.25">
      <c r="A538" s="99"/>
      <c r="B538" s="15" t="s">
        <v>773</v>
      </c>
      <c r="C538" s="5">
        <v>2.5</v>
      </c>
      <c r="D538" s="73">
        <v>30.4</v>
      </c>
      <c r="E538" s="74">
        <v>6.5</v>
      </c>
      <c r="F538" s="6">
        <v>0.1</v>
      </c>
      <c r="G538" s="67">
        <v>42.2</v>
      </c>
      <c r="H538" s="75">
        <v>3.2</v>
      </c>
      <c r="I538" s="75">
        <v>20.8</v>
      </c>
      <c r="J538" s="75">
        <v>0.1</v>
      </c>
      <c r="K538" s="68">
        <v>0.01</v>
      </c>
      <c r="N538" s="79" t="s">
        <v>579</v>
      </c>
    </row>
    <row r="539" spans="1:16" x14ac:dyDescent="0.25">
      <c r="A539" s="99"/>
      <c r="B539" s="15" t="s">
        <v>776</v>
      </c>
      <c r="D539" s="73">
        <v>47.8</v>
      </c>
      <c r="E539">
        <v>12.3</v>
      </c>
      <c r="F539" s="6">
        <v>0.1</v>
      </c>
      <c r="G539" s="67">
        <v>42.2</v>
      </c>
      <c r="H539" s="75">
        <v>3.2</v>
      </c>
      <c r="I539" s="75">
        <v>20.8</v>
      </c>
      <c r="J539" s="75">
        <v>0.1</v>
      </c>
      <c r="K539" s="68">
        <v>0.01</v>
      </c>
      <c r="N539" s="79" t="s">
        <v>579</v>
      </c>
    </row>
    <row r="540" spans="1:16" x14ac:dyDescent="0.25">
      <c r="A540" s="99"/>
      <c r="B540" s="15" t="s">
        <v>774</v>
      </c>
      <c r="C540" s="5">
        <v>62.9</v>
      </c>
      <c r="D540" s="73">
        <v>79.7</v>
      </c>
      <c r="E540" s="74">
        <v>35.299999999999997</v>
      </c>
      <c r="F540" s="6">
        <v>34.299999999999997</v>
      </c>
      <c r="G540" s="67">
        <v>60.5</v>
      </c>
      <c r="H540" s="75">
        <v>10.199999999999999</v>
      </c>
      <c r="I540" s="75">
        <v>49</v>
      </c>
      <c r="J540" s="75">
        <v>12.2</v>
      </c>
      <c r="K540" s="68">
        <v>1.69</v>
      </c>
      <c r="N540" s="79" t="s">
        <v>579</v>
      </c>
    </row>
    <row r="541" spans="1:16" x14ac:dyDescent="0.25">
      <c r="A541" s="100"/>
      <c r="B541" s="16" t="s">
        <v>777</v>
      </c>
      <c r="C541" s="7"/>
      <c r="D541" s="10">
        <v>86.3</v>
      </c>
      <c r="E541" s="10">
        <v>37.9</v>
      </c>
      <c r="F541" s="8">
        <v>37.799999999999997</v>
      </c>
      <c r="G541" s="67">
        <v>60.5</v>
      </c>
      <c r="H541" s="75">
        <v>10.199999999999999</v>
      </c>
      <c r="I541" s="75">
        <v>49</v>
      </c>
      <c r="J541" s="75">
        <v>12.2</v>
      </c>
      <c r="K541" s="68">
        <v>1.69</v>
      </c>
      <c r="L541" s="7"/>
      <c r="M541" s="8"/>
      <c r="N541" s="79" t="s">
        <v>579</v>
      </c>
      <c r="O541" s="16"/>
      <c r="P541" s="8"/>
    </row>
    <row r="542" spans="1:16" x14ac:dyDescent="0.25">
      <c r="N542" s="17">
        <v>0</v>
      </c>
    </row>
    <row r="543" spans="1:16" x14ac:dyDescent="0.25">
      <c r="N543" s="17">
        <v>0</v>
      </c>
    </row>
    <row r="544" spans="1:16" x14ac:dyDescent="0.25">
      <c r="N544" s="17">
        <v>0</v>
      </c>
    </row>
    <row r="545" spans="14:14" x14ac:dyDescent="0.25">
      <c r="N545" s="17">
        <v>0</v>
      </c>
    </row>
    <row r="546" spans="14:14" x14ac:dyDescent="0.25">
      <c r="N546" s="17">
        <v>0</v>
      </c>
    </row>
    <row r="547" spans="14:14" x14ac:dyDescent="0.25">
      <c r="N547" s="17">
        <v>0</v>
      </c>
    </row>
    <row r="548" spans="14:14" x14ac:dyDescent="0.25">
      <c r="N548" s="17">
        <v>0</v>
      </c>
    </row>
    <row r="549" spans="14:14" x14ac:dyDescent="0.25">
      <c r="N549" s="17">
        <v>0</v>
      </c>
    </row>
    <row r="550" spans="14:14" x14ac:dyDescent="0.25">
      <c r="N550" s="17">
        <v>0</v>
      </c>
    </row>
    <row r="551" spans="14:14" x14ac:dyDescent="0.25">
      <c r="N551" s="17">
        <v>0</v>
      </c>
    </row>
    <row r="552" spans="14:14" x14ac:dyDescent="0.25">
      <c r="N552" s="17">
        <v>0</v>
      </c>
    </row>
    <row r="553" spans="14:14" x14ac:dyDescent="0.25">
      <c r="N553" s="17">
        <v>0</v>
      </c>
    </row>
    <row r="554" spans="14:14" x14ac:dyDescent="0.25">
      <c r="N554" s="17">
        <v>0</v>
      </c>
    </row>
    <row r="555" spans="14:14" x14ac:dyDescent="0.25">
      <c r="N555" s="17">
        <v>0</v>
      </c>
    </row>
    <row r="556" spans="14:14" x14ac:dyDescent="0.25">
      <c r="N556" s="17">
        <v>0</v>
      </c>
    </row>
    <row r="557" spans="14:14" x14ac:dyDescent="0.25">
      <c r="N557" s="17">
        <v>0</v>
      </c>
    </row>
    <row r="558" spans="14:14" x14ac:dyDescent="0.25">
      <c r="N558" s="17">
        <v>0</v>
      </c>
    </row>
    <row r="559" spans="14:14" x14ac:dyDescent="0.25">
      <c r="N559" s="17">
        <v>0</v>
      </c>
    </row>
    <row r="560" spans="14:14" x14ac:dyDescent="0.25">
      <c r="N560" s="17">
        <v>0</v>
      </c>
    </row>
    <row r="561" spans="1:16" x14ac:dyDescent="0.25">
      <c r="N561" s="17">
        <v>0</v>
      </c>
    </row>
    <row r="562" spans="1:16" x14ac:dyDescent="0.25">
      <c r="N562" s="17">
        <v>0</v>
      </c>
    </row>
    <row r="563" spans="1:16" x14ac:dyDescent="0.25">
      <c r="N563" s="17">
        <v>0</v>
      </c>
    </row>
    <row r="564" spans="1:16" x14ac:dyDescent="0.25">
      <c r="N564" s="17">
        <v>0</v>
      </c>
    </row>
    <row r="565" spans="1:16" x14ac:dyDescent="0.25">
      <c r="N565" s="17">
        <v>0</v>
      </c>
    </row>
    <row r="566" spans="1:16" x14ac:dyDescent="0.25">
      <c r="N566" s="17">
        <v>0</v>
      </c>
    </row>
    <row r="567" spans="1:16" x14ac:dyDescent="0.25">
      <c r="N567" s="17">
        <v>0</v>
      </c>
    </row>
    <row r="568" spans="1:16" x14ac:dyDescent="0.25">
      <c r="N568" s="17">
        <v>0</v>
      </c>
    </row>
    <row r="569" spans="1:16" x14ac:dyDescent="0.25">
      <c r="N569" s="17">
        <v>0</v>
      </c>
    </row>
    <row r="570" spans="1:16" x14ac:dyDescent="0.25">
      <c r="N570" s="17">
        <v>0</v>
      </c>
    </row>
    <row r="571" spans="1:16" x14ac:dyDescent="0.25">
      <c r="N571" s="17">
        <v>0</v>
      </c>
    </row>
    <row r="572" spans="1:16" x14ac:dyDescent="0.25">
      <c r="N572" s="17">
        <v>0</v>
      </c>
    </row>
    <row r="573" spans="1:16" x14ac:dyDescent="0.25">
      <c r="A573"/>
      <c r="N573" s="17">
        <v>0</v>
      </c>
      <c r="P573"/>
    </row>
    <row r="574" spans="1:16" x14ac:dyDescent="0.25">
      <c r="A574"/>
      <c r="N574" s="17">
        <v>0</v>
      </c>
      <c r="P574"/>
    </row>
    <row r="575" spans="1:16" x14ac:dyDescent="0.25">
      <c r="A575"/>
      <c r="N575" s="17">
        <v>0</v>
      </c>
      <c r="P575"/>
    </row>
    <row r="576" spans="1:16" x14ac:dyDescent="0.25">
      <c r="A576"/>
      <c r="N576" s="17">
        <v>0</v>
      </c>
      <c r="P576"/>
    </row>
    <row r="577" spans="1:16" x14ac:dyDescent="0.25">
      <c r="A577"/>
      <c r="N577" s="17">
        <v>0</v>
      </c>
      <c r="P577"/>
    </row>
    <row r="578" spans="1:16" x14ac:dyDescent="0.25">
      <c r="A578"/>
      <c r="N578" s="17">
        <v>0</v>
      </c>
      <c r="P578"/>
    </row>
    <row r="579" spans="1:16" x14ac:dyDescent="0.25">
      <c r="A579"/>
      <c r="N579" s="17">
        <v>0</v>
      </c>
      <c r="P579"/>
    </row>
    <row r="580" spans="1:16" x14ac:dyDescent="0.25">
      <c r="A580"/>
      <c r="N580" s="17">
        <v>0</v>
      </c>
      <c r="P580"/>
    </row>
    <row r="581" spans="1:16" x14ac:dyDescent="0.25">
      <c r="A581"/>
      <c r="N581" s="17">
        <v>0</v>
      </c>
      <c r="P581"/>
    </row>
    <row r="582" spans="1:16" x14ac:dyDescent="0.25">
      <c r="A582"/>
      <c r="N582" s="17">
        <v>0</v>
      </c>
      <c r="P582"/>
    </row>
    <row r="583" spans="1:16" x14ac:dyDescent="0.25">
      <c r="A583"/>
      <c r="N583" s="17">
        <v>0</v>
      </c>
      <c r="P583"/>
    </row>
    <row r="584" spans="1:16" x14ac:dyDescent="0.25">
      <c r="A584"/>
      <c r="N584" s="17">
        <v>0</v>
      </c>
      <c r="P584"/>
    </row>
    <row r="585" spans="1:16" x14ac:dyDescent="0.25">
      <c r="A585"/>
      <c r="N585" s="17">
        <v>0</v>
      </c>
      <c r="P585"/>
    </row>
    <row r="586" spans="1:16" x14ac:dyDescent="0.25">
      <c r="A586"/>
      <c r="N586" s="17">
        <v>0</v>
      </c>
      <c r="P586"/>
    </row>
    <row r="587" spans="1:16" x14ac:dyDescent="0.25">
      <c r="A587"/>
      <c r="N587" s="17">
        <v>0</v>
      </c>
      <c r="P587"/>
    </row>
    <row r="588" spans="1:16" x14ac:dyDescent="0.25">
      <c r="A588"/>
      <c r="N588" s="17">
        <v>0</v>
      </c>
      <c r="P588"/>
    </row>
    <row r="589" spans="1:16" x14ac:dyDescent="0.25">
      <c r="A589"/>
      <c r="N589" s="17">
        <v>0</v>
      </c>
      <c r="P589"/>
    </row>
    <row r="590" spans="1:16" x14ac:dyDescent="0.25">
      <c r="A590"/>
      <c r="N590" s="17">
        <v>0</v>
      </c>
      <c r="P590"/>
    </row>
    <row r="591" spans="1:16" x14ac:dyDescent="0.25">
      <c r="A591"/>
      <c r="N591" s="17">
        <v>0</v>
      </c>
      <c r="P591"/>
    </row>
    <row r="592" spans="1:16" x14ac:dyDescent="0.25">
      <c r="A592"/>
      <c r="N592" s="17">
        <v>0</v>
      </c>
      <c r="P592"/>
    </row>
    <row r="593" spans="1:16" x14ac:dyDescent="0.25">
      <c r="A593"/>
      <c r="N593" s="17">
        <v>0</v>
      </c>
      <c r="P593"/>
    </row>
    <row r="594" spans="1:16" x14ac:dyDescent="0.25">
      <c r="A594"/>
      <c r="N594" s="17">
        <v>0</v>
      </c>
      <c r="P594"/>
    </row>
    <row r="595" spans="1:16" x14ac:dyDescent="0.25">
      <c r="A595"/>
      <c r="N595" s="17">
        <v>0</v>
      </c>
      <c r="P595"/>
    </row>
    <row r="596" spans="1:16" x14ac:dyDescent="0.25">
      <c r="A596"/>
      <c r="N596" s="17">
        <v>0</v>
      </c>
      <c r="P596"/>
    </row>
    <row r="597" spans="1:16" x14ac:dyDescent="0.25">
      <c r="A597"/>
      <c r="N597" s="17">
        <v>0</v>
      </c>
      <c r="P597"/>
    </row>
    <row r="598" spans="1:16" x14ac:dyDescent="0.25">
      <c r="A598"/>
      <c r="N598" s="17">
        <v>0</v>
      </c>
      <c r="P598"/>
    </row>
    <row r="599" spans="1:16" x14ac:dyDescent="0.25">
      <c r="A599"/>
      <c r="N599" s="17">
        <v>0</v>
      </c>
      <c r="P599"/>
    </row>
    <row r="600" spans="1:16" x14ac:dyDescent="0.25">
      <c r="A600"/>
      <c r="N600" s="17">
        <v>0</v>
      </c>
      <c r="P600"/>
    </row>
    <row r="601" spans="1:16" x14ac:dyDescent="0.25">
      <c r="A601"/>
      <c r="N601" s="17">
        <v>0</v>
      </c>
      <c r="P601"/>
    </row>
    <row r="602" spans="1:16" x14ac:dyDescent="0.25">
      <c r="A602"/>
      <c r="N602" s="17">
        <v>0</v>
      </c>
      <c r="P602"/>
    </row>
    <row r="603" spans="1:16" x14ac:dyDescent="0.25">
      <c r="A603"/>
      <c r="N603" s="17">
        <v>0</v>
      </c>
      <c r="P603"/>
    </row>
    <row r="604" spans="1:16" x14ac:dyDescent="0.25">
      <c r="A604"/>
      <c r="N604" s="17">
        <v>0</v>
      </c>
      <c r="P604"/>
    </row>
    <row r="605" spans="1:16" x14ac:dyDescent="0.25">
      <c r="A605"/>
      <c r="N605" s="17">
        <v>0</v>
      </c>
      <c r="P605"/>
    </row>
    <row r="606" spans="1:16" x14ac:dyDescent="0.25">
      <c r="A606"/>
      <c r="N606" s="17">
        <v>0</v>
      </c>
      <c r="P606"/>
    </row>
    <row r="607" spans="1:16" x14ac:dyDescent="0.25">
      <c r="A607"/>
      <c r="N607" s="17">
        <v>0</v>
      </c>
      <c r="P607"/>
    </row>
    <row r="608" spans="1:16" x14ac:dyDescent="0.25">
      <c r="A608"/>
      <c r="N608" s="17">
        <v>0</v>
      </c>
      <c r="P608"/>
    </row>
    <row r="609" spans="1:16" x14ac:dyDescent="0.25">
      <c r="A609"/>
      <c r="N609" s="17">
        <v>0</v>
      </c>
      <c r="P609"/>
    </row>
    <row r="610" spans="1:16" x14ac:dyDescent="0.25">
      <c r="A610"/>
      <c r="N610" s="17">
        <v>0</v>
      </c>
      <c r="P610"/>
    </row>
    <row r="611" spans="1:16" x14ac:dyDescent="0.25">
      <c r="A611"/>
      <c r="N611" s="17">
        <v>0</v>
      </c>
      <c r="P611"/>
    </row>
    <row r="612" spans="1:16" x14ac:dyDescent="0.25">
      <c r="A612"/>
      <c r="N612" s="17">
        <v>0</v>
      </c>
      <c r="P612"/>
    </row>
    <row r="613" spans="1:16" x14ac:dyDescent="0.25">
      <c r="A613"/>
      <c r="N613" s="17">
        <v>0</v>
      </c>
      <c r="P613"/>
    </row>
    <row r="614" spans="1:16" x14ac:dyDescent="0.25">
      <c r="A614"/>
      <c r="N614" s="17">
        <v>0</v>
      </c>
      <c r="P614"/>
    </row>
    <row r="615" spans="1:16" x14ac:dyDescent="0.25">
      <c r="A615"/>
      <c r="N615" s="17">
        <v>0</v>
      </c>
      <c r="P615"/>
    </row>
    <row r="616" spans="1:16" x14ac:dyDescent="0.25">
      <c r="A616"/>
      <c r="N616" s="17">
        <v>0</v>
      </c>
      <c r="P616"/>
    </row>
    <row r="617" spans="1:16" x14ac:dyDescent="0.25">
      <c r="A617"/>
      <c r="N617" s="17">
        <v>0</v>
      </c>
      <c r="P617"/>
    </row>
    <row r="618" spans="1:16" x14ac:dyDescent="0.25">
      <c r="A618"/>
      <c r="N618" s="17">
        <v>0</v>
      </c>
      <c r="P618"/>
    </row>
    <row r="619" spans="1:16" x14ac:dyDescent="0.25">
      <c r="A619"/>
      <c r="N619" s="17">
        <v>0</v>
      </c>
      <c r="P619"/>
    </row>
    <row r="620" spans="1:16" x14ac:dyDescent="0.25">
      <c r="A620"/>
      <c r="N620" s="17">
        <v>0</v>
      </c>
      <c r="P620"/>
    </row>
    <row r="621" spans="1:16" x14ac:dyDescent="0.25">
      <c r="A621"/>
      <c r="N621" s="17">
        <v>0</v>
      </c>
      <c r="P621"/>
    </row>
    <row r="622" spans="1:16" x14ac:dyDescent="0.25">
      <c r="A622"/>
      <c r="N622" s="17">
        <v>0</v>
      </c>
      <c r="P622"/>
    </row>
    <row r="623" spans="1:16" x14ac:dyDescent="0.25">
      <c r="A623"/>
      <c r="N623" s="17">
        <v>0</v>
      </c>
      <c r="P623"/>
    </row>
    <row r="624" spans="1:16" x14ac:dyDescent="0.25">
      <c r="A624"/>
      <c r="N624" s="17">
        <v>0</v>
      </c>
      <c r="P624"/>
    </row>
    <row r="625" spans="1:16" x14ac:dyDescent="0.25">
      <c r="A625"/>
      <c r="N625" s="17">
        <v>0</v>
      </c>
      <c r="P625"/>
    </row>
    <row r="626" spans="1:16" x14ac:dyDescent="0.25">
      <c r="A626"/>
      <c r="N626" s="17">
        <v>0</v>
      </c>
      <c r="P626"/>
    </row>
    <row r="627" spans="1:16" x14ac:dyDescent="0.25">
      <c r="A627"/>
      <c r="N627" s="17">
        <v>0</v>
      </c>
      <c r="P627"/>
    </row>
    <row r="628" spans="1:16" x14ac:dyDescent="0.25">
      <c r="A628"/>
      <c r="N628" s="17">
        <v>0</v>
      </c>
      <c r="P628"/>
    </row>
    <row r="629" spans="1:16" x14ac:dyDescent="0.25">
      <c r="A629"/>
      <c r="N629" s="17">
        <v>0</v>
      </c>
      <c r="P629"/>
    </row>
    <row r="630" spans="1:16" x14ac:dyDescent="0.25">
      <c r="A630"/>
      <c r="N630" s="17">
        <v>0</v>
      </c>
      <c r="P630"/>
    </row>
    <row r="631" spans="1:16" x14ac:dyDescent="0.25">
      <c r="A631"/>
      <c r="N631" s="17">
        <v>0</v>
      </c>
      <c r="P631"/>
    </row>
    <row r="632" spans="1:16" x14ac:dyDescent="0.25">
      <c r="A632"/>
      <c r="N632" s="17">
        <v>0</v>
      </c>
      <c r="P632"/>
    </row>
    <row r="633" spans="1:16" x14ac:dyDescent="0.25">
      <c r="A633"/>
      <c r="N633" s="17">
        <v>0</v>
      </c>
      <c r="P633"/>
    </row>
    <row r="634" spans="1:16" x14ac:dyDescent="0.25">
      <c r="A634"/>
      <c r="N634" s="17">
        <v>0</v>
      </c>
      <c r="P634"/>
    </row>
    <row r="635" spans="1:16" x14ac:dyDescent="0.25">
      <c r="A635"/>
      <c r="N635" s="17">
        <v>0</v>
      </c>
      <c r="P635"/>
    </row>
    <row r="636" spans="1:16" x14ac:dyDescent="0.25">
      <c r="A636"/>
      <c r="N636" s="17">
        <v>0</v>
      </c>
      <c r="P636"/>
    </row>
    <row r="637" spans="1:16" x14ac:dyDescent="0.25">
      <c r="A637"/>
      <c r="N637" s="17">
        <v>0</v>
      </c>
      <c r="P637"/>
    </row>
    <row r="638" spans="1:16" x14ac:dyDescent="0.25">
      <c r="A638"/>
      <c r="N638" s="17">
        <v>0</v>
      </c>
      <c r="P638"/>
    </row>
    <row r="639" spans="1:16" x14ac:dyDescent="0.25">
      <c r="A639"/>
      <c r="N639" s="17">
        <v>0</v>
      </c>
      <c r="P639"/>
    </row>
    <row r="640" spans="1:16" x14ac:dyDescent="0.25">
      <c r="A640"/>
      <c r="N640" s="17">
        <v>0</v>
      </c>
      <c r="P640"/>
    </row>
    <row r="641" spans="1:16" x14ac:dyDescent="0.25">
      <c r="A641"/>
      <c r="N641" s="17">
        <v>0</v>
      </c>
      <c r="P641"/>
    </row>
    <row r="642" spans="1:16" x14ac:dyDescent="0.25">
      <c r="A642"/>
      <c r="N642" s="17">
        <v>0</v>
      </c>
      <c r="P642"/>
    </row>
    <row r="643" spans="1:16" x14ac:dyDescent="0.25">
      <c r="A643"/>
      <c r="N643" s="17">
        <v>0</v>
      </c>
      <c r="P643"/>
    </row>
    <row r="644" spans="1:16" x14ac:dyDescent="0.25">
      <c r="A644"/>
      <c r="N644" s="17">
        <v>0</v>
      </c>
      <c r="P644"/>
    </row>
    <row r="645" spans="1:16" x14ac:dyDescent="0.25">
      <c r="A645"/>
      <c r="N645" s="17">
        <v>0</v>
      </c>
      <c r="P645"/>
    </row>
    <row r="646" spans="1:16" x14ac:dyDescent="0.25">
      <c r="A646"/>
      <c r="N646" s="17">
        <v>0</v>
      </c>
      <c r="P646"/>
    </row>
    <row r="647" spans="1:16" x14ac:dyDescent="0.25">
      <c r="A647"/>
      <c r="N647" s="17">
        <v>0</v>
      </c>
      <c r="P647"/>
    </row>
    <row r="648" spans="1:16" x14ac:dyDescent="0.25">
      <c r="A648"/>
      <c r="N648" s="17">
        <v>0</v>
      </c>
      <c r="P648"/>
    </row>
    <row r="649" spans="1:16" x14ac:dyDescent="0.25">
      <c r="A649"/>
      <c r="N649" s="17">
        <v>0</v>
      </c>
      <c r="P649"/>
    </row>
    <row r="650" spans="1:16" x14ac:dyDescent="0.25">
      <c r="A650"/>
      <c r="N650" s="17">
        <v>0</v>
      </c>
      <c r="P650"/>
    </row>
    <row r="651" spans="1:16" x14ac:dyDescent="0.25">
      <c r="A651"/>
      <c r="N651" s="17">
        <v>0</v>
      </c>
      <c r="P651"/>
    </row>
    <row r="652" spans="1:16" x14ac:dyDescent="0.25">
      <c r="A652"/>
      <c r="N652" s="17">
        <v>0</v>
      </c>
      <c r="P652"/>
    </row>
    <row r="653" spans="1:16" x14ac:dyDescent="0.25">
      <c r="A653"/>
      <c r="N653" s="17">
        <v>0</v>
      </c>
      <c r="P653"/>
    </row>
    <row r="654" spans="1:16" x14ac:dyDescent="0.25">
      <c r="A654"/>
      <c r="N654" s="17">
        <v>0</v>
      </c>
      <c r="P654"/>
    </row>
    <row r="655" spans="1:16" x14ac:dyDescent="0.25">
      <c r="A655"/>
      <c r="N655" s="17">
        <v>0</v>
      </c>
      <c r="P655"/>
    </row>
    <row r="656" spans="1:16" x14ac:dyDescent="0.25">
      <c r="A656"/>
      <c r="N656" s="17">
        <v>0</v>
      </c>
      <c r="P656"/>
    </row>
    <row r="657" spans="1:16" x14ac:dyDescent="0.25">
      <c r="A657"/>
      <c r="N657" s="17">
        <v>0</v>
      </c>
      <c r="P657"/>
    </row>
    <row r="658" spans="1:16" x14ac:dyDescent="0.25">
      <c r="A658"/>
      <c r="N658" s="17">
        <v>0</v>
      </c>
      <c r="P658"/>
    </row>
    <row r="659" spans="1:16" x14ac:dyDescent="0.25">
      <c r="A659"/>
      <c r="N659" s="17">
        <v>0</v>
      </c>
      <c r="P659"/>
    </row>
    <row r="660" spans="1:16" x14ac:dyDescent="0.25">
      <c r="A660"/>
      <c r="N660" s="17">
        <v>0</v>
      </c>
      <c r="P660"/>
    </row>
    <row r="661" spans="1:16" x14ac:dyDescent="0.25">
      <c r="A661"/>
      <c r="N661" s="17">
        <v>0</v>
      </c>
      <c r="P661"/>
    </row>
    <row r="662" spans="1:16" x14ac:dyDescent="0.25">
      <c r="A662"/>
      <c r="N662" s="17">
        <v>0</v>
      </c>
      <c r="P662"/>
    </row>
    <row r="663" spans="1:16" x14ac:dyDescent="0.25">
      <c r="A663"/>
      <c r="N663" s="17">
        <v>0</v>
      </c>
      <c r="P663"/>
    </row>
    <row r="664" spans="1:16" x14ac:dyDescent="0.25">
      <c r="A664"/>
      <c r="N664" s="17">
        <v>0</v>
      </c>
      <c r="P664"/>
    </row>
    <row r="665" spans="1:16" x14ac:dyDescent="0.25">
      <c r="A665"/>
      <c r="N665" s="17">
        <v>0</v>
      </c>
      <c r="P665"/>
    </row>
    <row r="666" spans="1:16" x14ac:dyDescent="0.25">
      <c r="A666"/>
      <c r="N666" s="17">
        <v>0</v>
      </c>
      <c r="P666"/>
    </row>
    <row r="667" spans="1:16" x14ac:dyDescent="0.25">
      <c r="A667"/>
      <c r="N667" s="17">
        <v>0</v>
      </c>
      <c r="P667"/>
    </row>
    <row r="668" spans="1:16" x14ac:dyDescent="0.25">
      <c r="A668"/>
      <c r="N668" s="17">
        <v>0</v>
      </c>
      <c r="P668"/>
    </row>
    <row r="669" spans="1:16" x14ac:dyDescent="0.25">
      <c r="A669"/>
      <c r="N669" s="17">
        <v>0</v>
      </c>
      <c r="P669"/>
    </row>
    <row r="670" spans="1:16" x14ac:dyDescent="0.25">
      <c r="A670"/>
      <c r="N670" s="17">
        <v>0</v>
      </c>
      <c r="P670"/>
    </row>
    <row r="671" spans="1:16" x14ac:dyDescent="0.25">
      <c r="A671"/>
      <c r="N671" s="17">
        <v>0</v>
      </c>
      <c r="P671"/>
    </row>
    <row r="672" spans="1:16" x14ac:dyDescent="0.25">
      <c r="A672"/>
      <c r="N672" s="17">
        <v>0</v>
      </c>
      <c r="P672"/>
    </row>
    <row r="673" spans="1:16" x14ac:dyDescent="0.25">
      <c r="A673"/>
      <c r="N673" s="17">
        <v>0</v>
      </c>
      <c r="P673"/>
    </row>
    <row r="674" spans="1:16" x14ac:dyDescent="0.25">
      <c r="A674"/>
      <c r="N674" s="17">
        <v>0</v>
      </c>
      <c r="P674"/>
    </row>
    <row r="675" spans="1:16" x14ac:dyDescent="0.25">
      <c r="A675"/>
      <c r="N675" s="17">
        <v>0</v>
      </c>
      <c r="P675"/>
    </row>
    <row r="676" spans="1:16" x14ac:dyDescent="0.25">
      <c r="A676"/>
      <c r="N676" s="17">
        <v>0</v>
      </c>
      <c r="P676"/>
    </row>
    <row r="677" spans="1:16" x14ac:dyDescent="0.25">
      <c r="A677"/>
      <c r="N677" s="17">
        <v>0</v>
      </c>
      <c r="P677"/>
    </row>
    <row r="678" spans="1:16" x14ac:dyDescent="0.25">
      <c r="A678"/>
      <c r="N678" s="17">
        <v>0</v>
      </c>
      <c r="P678"/>
    </row>
    <row r="679" spans="1:16" x14ac:dyDescent="0.25">
      <c r="A679"/>
      <c r="N679" s="17">
        <v>0</v>
      </c>
      <c r="P679"/>
    </row>
    <row r="680" spans="1:16" x14ac:dyDescent="0.25">
      <c r="A680"/>
      <c r="N680" s="17">
        <v>0</v>
      </c>
      <c r="P680"/>
    </row>
    <row r="681" spans="1:16" x14ac:dyDescent="0.25">
      <c r="A681"/>
      <c r="N681" s="17">
        <v>0</v>
      </c>
      <c r="P681"/>
    </row>
    <row r="682" spans="1:16" x14ac:dyDescent="0.25">
      <c r="A682"/>
      <c r="N682" s="17">
        <v>0</v>
      </c>
      <c r="P682"/>
    </row>
    <row r="683" spans="1:16" x14ac:dyDescent="0.25">
      <c r="A683"/>
      <c r="N683" s="17">
        <v>0</v>
      </c>
      <c r="P683"/>
    </row>
    <row r="684" spans="1:16" x14ac:dyDescent="0.25">
      <c r="A684"/>
      <c r="N684" s="17">
        <v>0</v>
      </c>
      <c r="P684"/>
    </row>
    <row r="685" spans="1:16" x14ac:dyDescent="0.25">
      <c r="A685"/>
      <c r="N685" s="17">
        <v>0</v>
      </c>
      <c r="P685"/>
    </row>
    <row r="686" spans="1:16" x14ac:dyDescent="0.25">
      <c r="A686"/>
      <c r="N686" s="17">
        <v>0</v>
      </c>
      <c r="P686"/>
    </row>
    <row r="687" spans="1:16" x14ac:dyDescent="0.25">
      <c r="A687"/>
      <c r="N687" s="17">
        <v>0</v>
      </c>
      <c r="P687"/>
    </row>
    <row r="688" spans="1:16" x14ac:dyDescent="0.25">
      <c r="A688"/>
      <c r="N688" s="17">
        <v>0</v>
      </c>
      <c r="P688"/>
    </row>
    <row r="689" spans="1:16" x14ac:dyDescent="0.25">
      <c r="A689"/>
      <c r="N689" s="17">
        <v>0</v>
      </c>
      <c r="P689"/>
    </row>
    <row r="690" spans="1:16" x14ac:dyDescent="0.25">
      <c r="A690"/>
      <c r="N690" s="17">
        <v>0</v>
      </c>
      <c r="P690"/>
    </row>
    <row r="691" spans="1:16" x14ac:dyDescent="0.25">
      <c r="A691"/>
      <c r="N691" s="17">
        <v>0</v>
      </c>
      <c r="P691"/>
    </row>
    <row r="692" spans="1:16" x14ac:dyDescent="0.25">
      <c r="A692"/>
      <c r="N692" s="17">
        <v>0</v>
      </c>
      <c r="P692"/>
    </row>
    <row r="693" spans="1:16" x14ac:dyDescent="0.25">
      <c r="A693"/>
      <c r="N693" s="17">
        <v>0</v>
      </c>
      <c r="P693"/>
    </row>
    <row r="694" spans="1:16" x14ac:dyDescent="0.25">
      <c r="A694"/>
      <c r="N694" s="17">
        <v>0</v>
      </c>
      <c r="P694"/>
    </row>
    <row r="695" spans="1:16" x14ac:dyDescent="0.25">
      <c r="A695"/>
      <c r="N695" s="17">
        <v>0</v>
      </c>
      <c r="P695"/>
    </row>
    <row r="696" spans="1:16" x14ac:dyDescent="0.25">
      <c r="A696"/>
      <c r="N696" s="17">
        <v>0</v>
      </c>
      <c r="P696"/>
    </row>
    <row r="697" spans="1:16" x14ac:dyDescent="0.25">
      <c r="A697"/>
      <c r="N697" s="17">
        <v>0</v>
      </c>
      <c r="P697"/>
    </row>
    <row r="698" spans="1:16" x14ac:dyDescent="0.25">
      <c r="A698"/>
      <c r="N698" s="17">
        <v>0</v>
      </c>
      <c r="P698"/>
    </row>
    <row r="699" spans="1:16" x14ac:dyDescent="0.25">
      <c r="A699"/>
      <c r="N699" s="17">
        <v>0</v>
      </c>
      <c r="P699"/>
    </row>
    <row r="700" spans="1:16" x14ac:dyDescent="0.25">
      <c r="A700"/>
      <c r="N700" s="17">
        <v>0</v>
      </c>
      <c r="P700"/>
    </row>
    <row r="701" spans="1:16" x14ac:dyDescent="0.25">
      <c r="A701"/>
      <c r="N701" s="17">
        <v>0</v>
      </c>
      <c r="P701"/>
    </row>
    <row r="702" spans="1:16" x14ac:dyDescent="0.25">
      <c r="A702"/>
      <c r="N702" s="17">
        <v>0</v>
      </c>
      <c r="P702"/>
    </row>
    <row r="703" spans="1:16" x14ac:dyDescent="0.25">
      <c r="A703"/>
      <c r="N703" s="17">
        <v>0</v>
      </c>
      <c r="P703"/>
    </row>
    <row r="704" spans="1:16" x14ac:dyDescent="0.25">
      <c r="A704"/>
      <c r="N704" s="17">
        <v>0</v>
      </c>
      <c r="P704"/>
    </row>
    <row r="705" spans="1:16" x14ac:dyDescent="0.25">
      <c r="A705"/>
      <c r="N705" s="17">
        <v>0</v>
      </c>
      <c r="P705"/>
    </row>
    <row r="706" spans="1:16" x14ac:dyDescent="0.25">
      <c r="A706"/>
      <c r="N706" s="17">
        <v>0</v>
      </c>
      <c r="P706"/>
    </row>
    <row r="707" spans="1:16" x14ac:dyDescent="0.25">
      <c r="A707"/>
      <c r="N707" s="17">
        <v>0</v>
      </c>
      <c r="P707"/>
    </row>
    <row r="708" spans="1:16" x14ac:dyDescent="0.25">
      <c r="A708"/>
      <c r="N708" s="17">
        <v>0</v>
      </c>
      <c r="P708"/>
    </row>
    <row r="709" spans="1:16" x14ac:dyDescent="0.25">
      <c r="A709"/>
      <c r="N709" s="17">
        <v>0</v>
      </c>
      <c r="P709"/>
    </row>
    <row r="710" spans="1:16" x14ac:dyDescent="0.25">
      <c r="A710"/>
      <c r="N710" s="17">
        <v>0</v>
      </c>
      <c r="P710"/>
    </row>
    <row r="711" spans="1:16" x14ac:dyDescent="0.25">
      <c r="A711"/>
      <c r="N711" s="17">
        <v>0</v>
      </c>
      <c r="P711"/>
    </row>
    <row r="712" spans="1:16" x14ac:dyDescent="0.25">
      <c r="A712"/>
      <c r="N712" s="17">
        <v>0</v>
      </c>
      <c r="P712"/>
    </row>
    <row r="713" spans="1:16" x14ac:dyDescent="0.25">
      <c r="A713"/>
      <c r="N713" s="17">
        <v>0</v>
      </c>
      <c r="P713"/>
    </row>
    <row r="714" spans="1:16" x14ac:dyDescent="0.25">
      <c r="A714"/>
      <c r="N714" s="17">
        <v>0</v>
      </c>
      <c r="P714"/>
    </row>
    <row r="715" spans="1:16" x14ac:dyDescent="0.25">
      <c r="A715"/>
      <c r="N715" s="17">
        <v>0</v>
      </c>
      <c r="P715"/>
    </row>
    <row r="716" spans="1:16" x14ac:dyDescent="0.25">
      <c r="A716"/>
      <c r="N716" s="17">
        <v>0</v>
      </c>
      <c r="P716"/>
    </row>
    <row r="717" spans="1:16" x14ac:dyDescent="0.25">
      <c r="A717"/>
      <c r="N717" s="17">
        <v>0</v>
      </c>
      <c r="P717"/>
    </row>
    <row r="718" spans="1:16" x14ac:dyDescent="0.25">
      <c r="A718"/>
      <c r="N718" s="17">
        <v>0</v>
      </c>
      <c r="P718"/>
    </row>
    <row r="719" spans="1:16" x14ac:dyDescent="0.25">
      <c r="A719"/>
      <c r="N719" s="17">
        <v>0</v>
      </c>
      <c r="P719"/>
    </row>
    <row r="720" spans="1:16" x14ac:dyDescent="0.25">
      <c r="A720"/>
      <c r="N720" s="17">
        <v>0</v>
      </c>
      <c r="P720"/>
    </row>
    <row r="721" spans="1:16" x14ac:dyDescent="0.25">
      <c r="A721"/>
      <c r="N721" s="17">
        <v>0</v>
      </c>
      <c r="P721"/>
    </row>
    <row r="722" spans="1:16" x14ac:dyDescent="0.25">
      <c r="A722"/>
      <c r="N722" s="17">
        <v>0</v>
      </c>
      <c r="P722"/>
    </row>
    <row r="723" spans="1:16" x14ac:dyDescent="0.25">
      <c r="A723"/>
      <c r="N723" s="17">
        <v>0</v>
      </c>
      <c r="P723"/>
    </row>
    <row r="724" spans="1:16" x14ac:dyDescent="0.25">
      <c r="A724"/>
      <c r="N724" s="17">
        <v>0</v>
      </c>
      <c r="P724"/>
    </row>
    <row r="725" spans="1:16" x14ac:dyDescent="0.25">
      <c r="A725"/>
      <c r="N725" s="17">
        <v>0</v>
      </c>
      <c r="P725"/>
    </row>
    <row r="726" spans="1:16" x14ac:dyDescent="0.25">
      <c r="A726"/>
      <c r="N726" s="17">
        <v>0</v>
      </c>
      <c r="P726"/>
    </row>
    <row r="727" spans="1:16" x14ac:dyDescent="0.25">
      <c r="A727"/>
      <c r="N727" s="17">
        <v>0</v>
      </c>
      <c r="P727"/>
    </row>
    <row r="728" spans="1:16" x14ac:dyDescent="0.25">
      <c r="A728"/>
      <c r="N728" s="17">
        <v>0</v>
      </c>
      <c r="P728"/>
    </row>
    <row r="729" spans="1:16" x14ac:dyDescent="0.25">
      <c r="A729"/>
      <c r="N729" s="17">
        <v>0</v>
      </c>
      <c r="P729"/>
    </row>
    <row r="730" spans="1:16" x14ac:dyDescent="0.25">
      <c r="A730"/>
      <c r="N730" s="17">
        <v>0</v>
      </c>
      <c r="P730"/>
    </row>
    <row r="731" spans="1:16" x14ac:dyDescent="0.25">
      <c r="A731"/>
      <c r="N731" s="17">
        <v>0</v>
      </c>
      <c r="P731"/>
    </row>
    <row r="732" spans="1:16" x14ac:dyDescent="0.25">
      <c r="A732"/>
      <c r="N732" s="17">
        <v>0</v>
      </c>
      <c r="P732"/>
    </row>
    <row r="733" spans="1:16" x14ac:dyDescent="0.25">
      <c r="A733"/>
      <c r="N733" s="17">
        <v>0</v>
      </c>
      <c r="P733"/>
    </row>
    <row r="734" spans="1:16" x14ac:dyDescent="0.25">
      <c r="A734"/>
      <c r="N734" s="17">
        <v>0</v>
      </c>
      <c r="P734"/>
    </row>
    <row r="735" spans="1:16" x14ac:dyDescent="0.25">
      <c r="A735"/>
      <c r="N735" s="17">
        <v>0</v>
      </c>
      <c r="P735"/>
    </row>
    <row r="736" spans="1:16" x14ac:dyDescent="0.25">
      <c r="A736"/>
      <c r="N736" s="17">
        <v>0</v>
      </c>
      <c r="P736"/>
    </row>
    <row r="737" spans="1:16" x14ac:dyDescent="0.25">
      <c r="A737"/>
      <c r="N737" s="17">
        <v>0</v>
      </c>
      <c r="P737"/>
    </row>
    <row r="738" spans="1:16" x14ac:dyDescent="0.25">
      <c r="A738"/>
      <c r="N738" s="17">
        <v>0</v>
      </c>
      <c r="P738"/>
    </row>
    <row r="739" spans="1:16" x14ac:dyDescent="0.25">
      <c r="A739"/>
      <c r="N739" s="17">
        <v>0</v>
      </c>
      <c r="P739"/>
    </row>
    <row r="740" spans="1:16" x14ac:dyDescent="0.25">
      <c r="A740"/>
      <c r="N740" s="17">
        <v>0</v>
      </c>
      <c r="P740"/>
    </row>
    <row r="741" spans="1:16" x14ac:dyDescent="0.25">
      <c r="A741"/>
      <c r="N741" s="17">
        <v>0</v>
      </c>
      <c r="P741"/>
    </row>
    <row r="742" spans="1:16" x14ac:dyDescent="0.25">
      <c r="A742"/>
      <c r="N742" s="17">
        <v>0</v>
      </c>
      <c r="P742"/>
    </row>
    <row r="743" spans="1:16" x14ac:dyDescent="0.25">
      <c r="A743"/>
      <c r="N743" s="17">
        <v>0</v>
      </c>
      <c r="P743"/>
    </row>
    <row r="744" spans="1:16" x14ac:dyDescent="0.25">
      <c r="A744"/>
      <c r="N744" s="17">
        <v>0</v>
      </c>
      <c r="P744"/>
    </row>
    <row r="745" spans="1:16" x14ac:dyDescent="0.25">
      <c r="A745"/>
      <c r="N745" s="17">
        <v>0</v>
      </c>
      <c r="P745"/>
    </row>
    <row r="746" spans="1:16" x14ac:dyDescent="0.25">
      <c r="A746"/>
      <c r="N746" s="17">
        <v>0</v>
      </c>
      <c r="P746"/>
    </row>
    <row r="747" spans="1:16" x14ac:dyDescent="0.25">
      <c r="A747"/>
      <c r="N747" s="17">
        <v>0</v>
      </c>
      <c r="P747"/>
    </row>
    <row r="748" spans="1:16" x14ac:dyDescent="0.25">
      <c r="A748"/>
      <c r="N748" s="17">
        <v>0</v>
      </c>
      <c r="P748"/>
    </row>
    <row r="749" spans="1:16" x14ac:dyDescent="0.25">
      <c r="A749"/>
      <c r="N749" s="17">
        <v>0</v>
      </c>
      <c r="P749"/>
    </row>
    <row r="750" spans="1:16" x14ac:dyDescent="0.25">
      <c r="A750"/>
      <c r="N750" s="17">
        <v>0</v>
      </c>
      <c r="P750"/>
    </row>
    <row r="751" spans="1:16" x14ac:dyDescent="0.25">
      <c r="A751"/>
      <c r="N751" s="17">
        <v>0</v>
      </c>
      <c r="P751"/>
    </row>
    <row r="752" spans="1:16" x14ac:dyDescent="0.25">
      <c r="A752"/>
      <c r="N752" s="17">
        <v>0</v>
      </c>
      <c r="P752"/>
    </row>
    <row r="753" spans="1:16" x14ac:dyDescent="0.25">
      <c r="A753"/>
      <c r="N753" s="17">
        <v>0</v>
      </c>
      <c r="P753"/>
    </row>
    <row r="754" spans="1:16" x14ac:dyDescent="0.25">
      <c r="A754"/>
      <c r="N754" s="17">
        <v>0</v>
      </c>
      <c r="P754"/>
    </row>
    <row r="755" spans="1:16" x14ac:dyDescent="0.25">
      <c r="A755"/>
      <c r="N755" s="17">
        <v>0</v>
      </c>
      <c r="P755"/>
    </row>
    <row r="756" spans="1:16" x14ac:dyDescent="0.25">
      <c r="A756"/>
      <c r="N756" s="17">
        <v>0</v>
      </c>
      <c r="P756"/>
    </row>
    <row r="757" spans="1:16" x14ac:dyDescent="0.25">
      <c r="A757"/>
      <c r="N757" s="17">
        <v>0</v>
      </c>
      <c r="P757"/>
    </row>
    <row r="758" spans="1:16" x14ac:dyDescent="0.25">
      <c r="A758"/>
      <c r="N758" s="17">
        <v>0</v>
      </c>
      <c r="P758"/>
    </row>
    <row r="759" spans="1:16" x14ac:dyDescent="0.25">
      <c r="A759"/>
      <c r="N759" s="17">
        <v>0</v>
      </c>
      <c r="P759"/>
    </row>
    <row r="760" spans="1:16" x14ac:dyDescent="0.25">
      <c r="A760"/>
      <c r="N760" s="17">
        <v>0</v>
      </c>
      <c r="P760"/>
    </row>
    <row r="761" spans="1:16" x14ac:dyDescent="0.25">
      <c r="A761"/>
      <c r="N761" s="17">
        <v>0</v>
      </c>
      <c r="P761"/>
    </row>
    <row r="762" spans="1:16" x14ac:dyDescent="0.25">
      <c r="A762"/>
      <c r="N762" s="17">
        <v>0</v>
      </c>
      <c r="P762"/>
    </row>
    <row r="763" spans="1:16" x14ac:dyDescent="0.25">
      <c r="A763"/>
      <c r="N763" s="17">
        <v>0</v>
      </c>
      <c r="P763"/>
    </row>
    <row r="764" spans="1:16" x14ac:dyDescent="0.25">
      <c r="A764"/>
      <c r="N764" s="17">
        <v>0</v>
      </c>
      <c r="P764"/>
    </row>
    <row r="765" spans="1:16" x14ac:dyDescent="0.25">
      <c r="A765"/>
      <c r="N765" s="17">
        <v>0</v>
      </c>
      <c r="P765"/>
    </row>
    <row r="766" spans="1:16" x14ac:dyDescent="0.25">
      <c r="A766"/>
      <c r="N766" s="17">
        <v>0</v>
      </c>
      <c r="P766"/>
    </row>
    <row r="767" spans="1:16" x14ac:dyDescent="0.25">
      <c r="A767"/>
      <c r="N767" s="17">
        <v>0</v>
      </c>
      <c r="P767"/>
    </row>
    <row r="768" spans="1:16" x14ac:dyDescent="0.25">
      <c r="A768"/>
      <c r="N768" s="17">
        <v>0</v>
      </c>
      <c r="P768"/>
    </row>
    <row r="769" spans="1:16" x14ac:dyDescent="0.25">
      <c r="A769"/>
      <c r="N769" s="17">
        <v>0</v>
      </c>
      <c r="P769"/>
    </row>
    <row r="770" spans="1:16" x14ac:dyDescent="0.25">
      <c r="A770"/>
      <c r="N770" s="17">
        <v>0</v>
      </c>
      <c r="P770"/>
    </row>
    <row r="771" spans="1:16" x14ac:dyDescent="0.25">
      <c r="A771"/>
      <c r="N771" s="17">
        <v>0</v>
      </c>
      <c r="P771"/>
    </row>
    <row r="772" spans="1:16" x14ac:dyDescent="0.25">
      <c r="A772"/>
      <c r="N772" s="17">
        <v>0</v>
      </c>
      <c r="P772"/>
    </row>
    <row r="773" spans="1:16" x14ac:dyDescent="0.25">
      <c r="A773"/>
      <c r="N773" s="17">
        <v>0</v>
      </c>
      <c r="P773"/>
    </row>
    <row r="774" spans="1:16" x14ac:dyDescent="0.25">
      <c r="A774"/>
      <c r="N774" s="17">
        <v>0</v>
      </c>
      <c r="P774"/>
    </row>
    <row r="775" spans="1:16" x14ac:dyDescent="0.25">
      <c r="A775"/>
      <c r="N775" s="17">
        <v>0</v>
      </c>
      <c r="P775"/>
    </row>
    <row r="776" spans="1:16" x14ac:dyDescent="0.25">
      <c r="A776"/>
      <c r="N776" s="17">
        <v>0</v>
      </c>
      <c r="P776"/>
    </row>
    <row r="777" spans="1:16" x14ac:dyDescent="0.25">
      <c r="A777"/>
      <c r="N777" s="17">
        <v>0</v>
      </c>
      <c r="P777"/>
    </row>
    <row r="778" spans="1:16" x14ac:dyDescent="0.25">
      <c r="A778"/>
      <c r="N778" s="17">
        <v>0</v>
      </c>
      <c r="P778"/>
    </row>
    <row r="779" spans="1:16" x14ac:dyDescent="0.25">
      <c r="A779"/>
      <c r="N779" s="17">
        <v>0</v>
      </c>
      <c r="P779"/>
    </row>
    <row r="780" spans="1:16" x14ac:dyDescent="0.25">
      <c r="A780"/>
      <c r="N780" s="17">
        <v>0</v>
      </c>
      <c r="P780"/>
    </row>
    <row r="781" spans="1:16" x14ac:dyDescent="0.25">
      <c r="A781"/>
      <c r="N781" s="17">
        <v>0</v>
      </c>
      <c r="P781"/>
    </row>
    <row r="782" spans="1:16" x14ac:dyDescent="0.25">
      <c r="A782"/>
      <c r="N782" s="17">
        <v>0</v>
      </c>
      <c r="P782"/>
    </row>
    <row r="783" spans="1:16" x14ac:dyDescent="0.25">
      <c r="A783"/>
      <c r="N783" s="17">
        <v>0</v>
      </c>
      <c r="P783"/>
    </row>
    <row r="784" spans="1:16" x14ac:dyDescent="0.25">
      <c r="A784"/>
      <c r="N784" s="17">
        <v>0</v>
      </c>
      <c r="P784"/>
    </row>
    <row r="785" spans="1:16" x14ac:dyDescent="0.25">
      <c r="A785"/>
      <c r="N785" s="17">
        <v>0</v>
      </c>
      <c r="P785"/>
    </row>
    <row r="786" spans="1:16" x14ac:dyDescent="0.25">
      <c r="A786"/>
      <c r="N786" s="17">
        <v>0</v>
      </c>
      <c r="P786"/>
    </row>
    <row r="787" spans="1:16" x14ac:dyDescent="0.25">
      <c r="A787"/>
      <c r="N787" s="17">
        <v>0</v>
      </c>
      <c r="P787"/>
    </row>
    <row r="788" spans="1:16" x14ac:dyDescent="0.25">
      <c r="A788"/>
      <c r="N788" s="17">
        <v>0</v>
      </c>
      <c r="P788"/>
    </row>
    <row r="789" spans="1:16" x14ac:dyDescent="0.25">
      <c r="A789"/>
      <c r="N789" s="17">
        <v>0</v>
      </c>
      <c r="P789"/>
    </row>
    <row r="790" spans="1:16" x14ac:dyDescent="0.25">
      <c r="A790"/>
      <c r="N790" s="17">
        <v>0</v>
      </c>
      <c r="P790"/>
    </row>
    <row r="791" spans="1:16" x14ac:dyDescent="0.25">
      <c r="A791"/>
      <c r="N791" s="17">
        <v>0</v>
      </c>
      <c r="P791"/>
    </row>
    <row r="792" spans="1:16" x14ac:dyDescent="0.25">
      <c r="A792"/>
      <c r="N792" s="17">
        <v>0</v>
      </c>
      <c r="P792"/>
    </row>
    <row r="793" spans="1:16" x14ac:dyDescent="0.25">
      <c r="A793"/>
      <c r="N793" s="17">
        <v>0</v>
      </c>
      <c r="P793"/>
    </row>
    <row r="794" spans="1:16" x14ac:dyDescent="0.25">
      <c r="A794"/>
      <c r="N794" s="17">
        <v>0</v>
      </c>
      <c r="P794"/>
    </row>
    <row r="795" spans="1:16" x14ac:dyDescent="0.25">
      <c r="A795"/>
      <c r="N795" s="17">
        <v>0</v>
      </c>
      <c r="P795"/>
    </row>
    <row r="796" spans="1:16" x14ac:dyDescent="0.25">
      <c r="A796"/>
      <c r="N796" s="17">
        <v>0</v>
      </c>
      <c r="P796"/>
    </row>
    <row r="797" spans="1:16" x14ac:dyDescent="0.25">
      <c r="A797"/>
      <c r="N797" s="17">
        <v>0</v>
      </c>
      <c r="P797"/>
    </row>
    <row r="798" spans="1:16" x14ac:dyDescent="0.25">
      <c r="A798"/>
      <c r="N798" s="17">
        <v>0</v>
      </c>
      <c r="P798"/>
    </row>
    <row r="799" spans="1:16" x14ac:dyDescent="0.25">
      <c r="A799"/>
      <c r="N799" s="17">
        <v>0</v>
      </c>
      <c r="P799"/>
    </row>
    <row r="800" spans="1:16" x14ac:dyDescent="0.25">
      <c r="A800"/>
      <c r="N800" s="17">
        <v>0</v>
      </c>
      <c r="P800"/>
    </row>
    <row r="801" spans="1:16" x14ac:dyDescent="0.25">
      <c r="A801"/>
      <c r="N801" s="17">
        <v>0</v>
      </c>
      <c r="P801"/>
    </row>
    <row r="802" spans="1:16" x14ac:dyDescent="0.25">
      <c r="A802"/>
      <c r="N802" s="17">
        <v>0</v>
      </c>
      <c r="P802"/>
    </row>
    <row r="803" spans="1:16" x14ac:dyDescent="0.25">
      <c r="A803"/>
      <c r="N803" s="17">
        <v>0</v>
      </c>
      <c r="P803"/>
    </row>
    <row r="804" spans="1:16" x14ac:dyDescent="0.25">
      <c r="A804"/>
      <c r="N804" s="17">
        <v>0</v>
      </c>
      <c r="P804"/>
    </row>
    <row r="805" spans="1:16" x14ac:dyDescent="0.25">
      <c r="A805"/>
      <c r="N805" s="17">
        <v>0</v>
      </c>
      <c r="P805"/>
    </row>
    <row r="806" spans="1:16" x14ac:dyDescent="0.25">
      <c r="A806"/>
      <c r="N806" s="17">
        <v>0</v>
      </c>
      <c r="P806"/>
    </row>
    <row r="807" spans="1:16" x14ac:dyDescent="0.25">
      <c r="A807"/>
      <c r="N807" s="17">
        <v>0</v>
      </c>
      <c r="P807"/>
    </row>
    <row r="808" spans="1:16" x14ac:dyDescent="0.25">
      <c r="A808"/>
      <c r="N808" s="17">
        <v>0</v>
      </c>
      <c r="P808"/>
    </row>
    <row r="809" spans="1:16" x14ac:dyDescent="0.25">
      <c r="A809"/>
      <c r="N809" s="17">
        <v>0</v>
      </c>
      <c r="P809"/>
    </row>
    <row r="810" spans="1:16" x14ac:dyDescent="0.25">
      <c r="A810"/>
      <c r="N810" s="17">
        <v>0</v>
      </c>
      <c r="P810"/>
    </row>
    <row r="811" spans="1:16" x14ac:dyDescent="0.25">
      <c r="A811"/>
      <c r="N811" s="17">
        <v>0</v>
      </c>
      <c r="P811"/>
    </row>
    <row r="812" spans="1:16" x14ac:dyDescent="0.25">
      <c r="A812"/>
      <c r="N812" s="17">
        <v>0</v>
      </c>
      <c r="P812"/>
    </row>
    <row r="813" spans="1:16" x14ac:dyDescent="0.25">
      <c r="A813"/>
      <c r="N813" s="17">
        <v>0</v>
      </c>
      <c r="P813"/>
    </row>
    <row r="814" spans="1:16" x14ac:dyDescent="0.25">
      <c r="A814"/>
      <c r="N814" s="17">
        <v>0</v>
      </c>
      <c r="P814"/>
    </row>
    <row r="815" spans="1:16" x14ac:dyDescent="0.25">
      <c r="A815"/>
      <c r="N815" s="17">
        <v>0</v>
      </c>
      <c r="P815"/>
    </row>
    <row r="816" spans="1:16" x14ac:dyDescent="0.25">
      <c r="A816"/>
      <c r="N816" s="17">
        <v>0</v>
      </c>
      <c r="P816"/>
    </row>
    <row r="817" spans="1:16" x14ac:dyDescent="0.25">
      <c r="A817"/>
      <c r="N817" s="17">
        <v>0</v>
      </c>
      <c r="P817"/>
    </row>
    <row r="818" spans="1:16" x14ac:dyDescent="0.25">
      <c r="A818"/>
      <c r="N818" s="17">
        <v>0</v>
      </c>
      <c r="P818"/>
    </row>
    <row r="819" spans="1:16" x14ac:dyDescent="0.25">
      <c r="A819"/>
      <c r="N819" s="17">
        <v>0</v>
      </c>
      <c r="P819"/>
    </row>
    <row r="820" spans="1:16" x14ac:dyDescent="0.25">
      <c r="A820"/>
      <c r="N820" s="17">
        <v>0</v>
      </c>
      <c r="P820"/>
    </row>
    <row r="821" spans="1:16" x14ac:dyDescent="0.25">
      <c r="A821"/>
      <c r="N821" s="17">
        <v>0</v>
      </c>
      <c r="P821"/>
    </row>
    <row r="822" spans="1:16" x14ac:dyDescent="0.25">
      <c r="A822"/>
      <c r="N822" s="17">
        <v>0</v>
      </c>
      <c r="P822"/>
    </row>
    <row r="823" spans="1:16" x14ac:dyDescent="0.25">
      <c r="A823"/>
      <c r="N823" s="17">
        <v>0</v>
      </c>
      <c r="P823"/>
    </row>
    <row r="824" spans="1:16" x14ac:dyDescent="0.25">
      <c r="A824"/>
      <c r="N824" s="17">
        <v>0</v>
      </c>
      <c r="P824"/>
    </row>
    <row r="825" spans="1:16" x14ac:dyDescent="0.25">
      <c r="A825"/>
      <c r="N825" s="17">
        <v>0</v>
      </c>
      <c r="P825"/>
    </row>
    <row r="826" spans="1:16" x14ac:dyDescent="0.25">
      <c r="A826"/>
      <c r="N826" s="17">
        <v>0</v>
      </c>
      <c r="P826"/>
    </row>
    <row r="827" spans="1:16" x14ac:dyDescent="0.25">
      <c r="A827"/>
      <c r="N827" s="17">
        <v>0</v>
      </c>
      <c r="P827"/>
    </row>
    <row r="828" spans="1:16" x14ac:dyDescent="0.25">
      <c r="A828"/>
      <c r="N828" s="17">
        <v>0</v>
      </c>
      <c r="P828"/>
    </row>
    <row r="829" spans="1:16" x14ac:dyDescent="0.25">
      <c r="A829"/>
      <c r="N829" s="17">
        <v>0</v>
      </c>
      <c r="P829"/>
    </row>
    <row r="830" spans="1:16" x14ac:dyDescent="0.25">
      <c r="A830"/>
      <c r="N830" s="17">
        <v>0</v>
      </c>
      <c r="P830"/>
    </row>
    <row r="831" spans="1:16" x14ac:dyDescent="0.25">
      <c r="A831"/>
      <c r="N831" s="17">
        <v>0</v>
      </c>
      <c r="P831"/>
    </row>
    <row r="832" spans="1:16" x14ac:dyDescent="0.25">
      <c r="A832"/>
      <c r="N832" s="17">
        <v>0</v>
      </c>
      <c r="P832"/>
    </row>
    <row r="833" spans="1:16" x14ac:dyDescent="0.25">
      <c r="A833"/>
      <c r="N833" s="17">
        <v>0</v>
      </c>
      <c r="P833"/>
    </row>
    <row r="834" spans="1:16" x14ac:dyDescent="0.25">
      <c r="A834"/>
      <c r="N834" s="17">
        <v>0</v>
      </c>
      <c r="P834"/>
    </row>
    <row r="835" spans="1:16" x14ac:dyDescent="0.25">
      <c r="A835"/>
      <c r="N835" s="17">
        <v>0</v>
      </c>
      <c r="P835"/>
    </row>
    <row r="836" spans="1:16" x14ac:dyDescent="0.25">
      <c r="A836"/>
      <c r="N836" s="17">
        <v>0</v>
      </c>
      <c r="P836"/>
    </row>
    <row r="837" spans="1:16" x14ac:dyDescent="0.25">
      <c r="A837"/>
      <c r="N837" s="17">
        <v>0</v>
      </c>
      <c r="P837"/>
    </row>
    <row r="838" spans="1:16" x14ac:dyDescent="0.25">
      <c r="A838"/>
      <c r="N838" s="17">
        <v>0</v>
      </c>
      <c r="P838"/>
    </row>
    <row r="839" spans="1:16" x14ac:dyDescent="0.25">
      <c r="A839"/>
      <c r="P839"/>
    </row>
    <row r="840" spans="1:16" x14ac:dyDescent="0.25">
      <c r="A840"/>
      <c r="P840"/>
    </row>
    <row r="841" spans="1:16" x14ac:dyDescent="0.25">
      <c r="A841"/>
      <c r="P841"/>
    </row>
    <row r="842" spans="1:16" x14ac:dyDescent="0.25">
      <c r="A842"/>
      <c r="P842"/>
    </row>
    <row r="843" spans="1:16" x14ac:dyDescent="0.25">
      <c r="A843"/>
      <c r="P843"/>
    </row>
    <row r="844" spans="1:16" x14ac:dyDescent="0.25">
      <c r="A844"/>
      <c r="P844"/>
    </row>
    <row r="845" spans="1:16" x14ac:dyDescent="0.25">
      <c r="A845"/>
      <c r="P845"/>
    </row>
    <row r="846" spans="1:16" x14ac:dyDescent="0.25">
      <c r="A846"/>
      <c r="P846"/>
    </row>
    <row r="847" spans="1:16" x14ac:dyDescent="0.25">
      <c r="A847"/>
      <c r="P847"/>
    </row>
    <row r="848" spans="1:16" x14ac:dyDescent="0.25">
      <c r="A848"/>
      <c r="P848"/>
    </row>
    <row r="849" spans="1:16" x14ac:dyDescent="0.25">
      <c r="A849"/>
      <c r="P849"/>
    </row>
    <row r="850" spans="1:16" x14ac:dyDescent="0.25">
      <c r="A850"/>
      <c r="P850"/>
    </row>
    <row r="851" spans="1:16" x14ac:dyDescent="0.25">
      <c r="A851"/>
      <c r="P851"/>
    </row>
    <row r="852" spans="1:16" x14ac:dyDescent="0.25">
      <c r="A852"/>
      <c r="P852"/>
    </row>
    <row r="853" spans="1:16" x14ac:dyDescent="0.25">
      <c r="A853"/>
      <c r="P853"/>
    </row>
    <row r="854" spans="1:16" x14ac:dyDescent="0.25">
      <c r="A854"/>
      <c r="P854"/>
    </row>
    <row r="855" spans="1:16" x14ac:dyDescent="0.25">
      <c r="A855"/>
      <c r="P855"/>
    </row>
    <row r="856" spans="1:16" x14ac:dyDescent="0.25">
      <c r="A856"/>
      <c r="P856"/>
    </row>
    <row r="857" spans="1:16" x14ac:dyDescent="0.25">
      <c r="A857"/>
      <c r="P857"/>
    </row>
    <row r="858" spans="1:16" x14ac:dyDescent="0.25">
      <c r="A858"/>
      <c r="P858"/>
    </row>
    <row r="859" spans="1:16" x14ac:dyDescent="0.25">
      <c r="A859"/>
      <c r="P859"/>
    </row>
    <row r="860" spans="1:16" x14ac:dyDescent="0.25">
      <c r="A860"/>
      <c r="P860"/>
    </row>
    <row r="861" spans="1:16" x14ac:dyDescent="0.25">
      <c r="A861"/>
      <c r="P861"/>
    </row>
    <row r="862" spans="1:16" x14ac:dyDescent="0.25">
      <c r="A862"/>
      <c r="P862"/>
    </row>
    <row r="863" spans="1:16" x14ac:dyDescent="0.25">
      <c r="A863"/>
      <c r="P863"/>
    </row>
    <row r="864" spans="1:16" x14ac:dyDescent="0.25">
      <c r="A864"/>
      <c r="P864"/>
    </row>
    <row r="865" spans="1:16" x14ac:dyDescent="0.25">
      <c r="A865"/>
      <c r="P865"/>
    </row>
    <row r="866" spans="1:16" x14ac:dyDescent="0.25">
      <c r="A866"/>
      <c r="P866"/>
    </row>
    <row r="867" spans="1:16" x14ac:dyDescent="0.25">
      <c r="A867"/>
      <c r="P867"/>
    </row>
    <row r="868" spans="1:16" x14ac:dyDescent="0.25">
      <c r="A868"/>
      <c r="P868"/>
    </row>
    <row r="869" spans="1:16" x14ac:dyDescent="0.25">
      <c r="A869"/>
      <c r="P869"/>
    </row>
    <row r="870" spans="1:16" x14ac:dyDescent="0.25">
      <c r="A870"/>
      <c r="P870"/>
    </row>
    <row r="871" spans="1:16" x14ac:dyDescent="0.25">
      <c r="A871"/>
      <c r="P871"/>
    </row>
    <row r="872" spans="1:16" x14ac:dyDescent="0.25">
      <c r="A872"/>
      <c r="P872"/>
    </row>
    <row r="873" spans="1:16" x14ac:dyDescent="0.25">
      <c r="A873"/>
      <c r="P873"/>
    </row>
    <row r="874" spans="1:16" x14ac:dyDescent="0.25">
      <c r="A874"/>
      <c r="P874"/>
    </row>
    <row r="875" spans="1:16" x14ac:dyDescent="0.25">
      <c r="A875"/>
      <c r="P875"/>
    </row>
    <row r="876" spans="1:16" x14ac:dyDescent="0.25">
      <c r="A876"/>
      <c r="P876"/>
    </row>
    <row r="877" spans="1:16" x14ac:dyDescent="0.25">
      <c r="A877"/>
      <c r="P877"/>
    </row>
    <row r="878" spans="1:16" x14ac:dyDescent="0.25">
      <c r="A878"/>
      <c r="P878"/>
    </row>
    <row r="879" spans="1:16" x14ac:dyDescent="0.25">
      <c r="A879"/>
      <c r="P879"/>
    </row>
    <row r="880" spans="1:16" x14ac:dyDescent="0.25">
      <c r="A880"/>
      <c r="P880"/>
    </row>
    <row r="881" spans="1:16" x14ac:dyDescent="0.25">
      <c r="A881"/>
      <c r="P881"/>
    </row>
    <row r="882" spans="1:16" x14ac:dyDescent="0.25">
      <c r="A882"/>
      <c r="P882"/>
    </row>
    <row r="883" spans="1:16" x14ac:dyDescent="0.25">
      <c r="A883"/>
      <c r="P883"/>
    </row>
    <row r="884" spans="1:16" x14ac:dyDescent="0.25">
      <c r="A884"/>
      <c r="P884"/>
    </row>
    <row r="885" spans="1:16" x14ac:dyDescent="0.25">
      <c r="A885"/>
      <c r="P885"/>
    </row>
    <row r="886" spans="1:16" x14ac:dyDescent="0.25">
      <c r="A886"/>
      <c r="P886"/>
    </row>
    <row r="887" spans="1:16" x14ac:dyDescent="0.25">
      <c r="A887"/>
      <c r="P887"/>
    </row>
    <row r="888" spans="1:16" x14ac:dyDescent="0.25">
      <c r="A888"/>
      <c r="P888"/>
    </row>
    <row r="889" spans="1:16" x14ac:dyDescent="0.25">
      <c r="A889"/>
      <c r="P889"/>
    </row>
    <row r="890" spans="1:16" x14ac:dyDescent="0.25">
      <c r="A890"/>
      <c r="P890"/>
    </row>
    <row r="891" spans="1:16" x14ac:dyDescent="0.25">
      <c r="A891"/>
      <c r="P891"/>
    </row>
    <row r="892" spans="1:16" x14ac:dyDescent="0.25">
      <c r="A892"/>
      <c r="P892"/>
    </row>
    <row r="893" spans="1:16" x14ac:dyDescent="0.25">
      <c r="A893"/>
      <c r="P893"/>
    </row>
    <row r="894" spans="1:16" x14ac:dyDescent="0.25">
      <c r="A894"/>
      <c r="P894"/>
    </row>
    <row r="895" spans="1:16" x14ac:dyDescent="0.25">
      <c r="A895"/>
      <c r="P895"/>
    </row>
    <row r="896" spans="1:16" x14ac:dyDescent="0.25">
      <c r="A896"/>
      <c r="P896"/>
    </row>
    <row r="897" spans="1:16" x14ac:dyDescent="0.25">
      <c r="A897"/>
      <c r="P897"/>
    </row>
  </sheetData>
  <mergeCells count="14">
    <mergeCell ref="A505:A541"/>
    <mergeCell ref="A3:A72"/>
    <mergeCell ref="A500:A504"/>
    <mergeCell ref="A473:A480"/>
    <mergeCell ref="A481:A499"/>
    <mergeCell ref="A73:A128"/>
    <mergeCell ref="A302:A365"/>
    <mergeCell ref="A129:A158"/>
    <mergeCell ref="A159:A301"/>
    <mergeCell ref="A366:A437"/>
    <mergeCell ref="A438:A443"/>
    <mergeCell ref="A444:A472"/>
    <mergeCell ref="A1:A2"/>
    <mergeCell ref="B1:B2"/>
  </mergeCells>
  <phoneticPr fontId="5" type="noConversion"/>
  <conditionalFormatting sqref="N1:N1048576">
    <cfRule type="containsBlanks" dxfId="0" priority="2">
      <formula>LEN(TRIM(N1))=0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C7DC-ED61-40C9-938F-FB5D0931444F}">
  <dimension ref="A1:AC321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5" sqref="F5"/>
    </sheetView>
  </sheetViews>
  <sheetFormatPr defaultRowHeight="15" x14ac:dyDescent="0.25"/>
  <cols>
    <col min="1" max="1" width="15.85546875" bestFit="1" customWidth="1"/>
    <col min="2" max="2" width="41.5703125" bestFit="1" customWidth="1"/>
    <col min="3" max="3" width="16.5703125" style="5" customWidth="1"/>
    <col min="4" max="4" width="13.5703125" customWidth="1"/>
    <col min="5" max="5" width="9.140625" style="5"/>
    <col min="8" max="9" width="9.140625" style="6"/>
    <col min="10" max="10" width="11.140625" bestFit="1" customWidth="1"/>
    <col min="11" max="11" width="11.5703125" style="6" bestFit="1" customWidth="1"/>
    <col min="12" max="12" width="10.42578125" style="15" bestFit="1" customWidth="1"/>
    <col min="13" max="13" width="12" style="15" bestFit="1" customWidth="1"/>
    <col min="14" max="14" width="13.140625" style="5" bestFit="1" customWidth="1"/>
    <col min="15" max="15" width="10.140625" style="6" bestFit="1" customWidth="1"/>
  </cols>
  <sheetData>
    <row r="1" spans="1:15" x14ac:dyDescent="0.25">
      <c r="C1" s="105" t="s">
        <v>124</v>
      </c>
      <c r="D1" s="105" t="s">
        <v>124</v>
      </c>
      <c r="E1" s="105" t="s">
        <v>124</v>
      </c>
      <c r="F1" s="105" t="s">
        <v>124</v>
      </c>
      <c r="G1" s="105" t="s">
        <v>124</v>
      </c>
      <c r="H1" s="105" t="s">
        <v>124</v>
      </c>
      <c r="I1" s="105" t="s">
        <v>124</v>
      </c>
      <c r="J1" s="80" t="s">
        <v>106</v>
      </c>
      <c r="K1" s="12" t="s">
        <v>107</v>
      </c>
      <c r="L1" s="14" t="s">
        <v>108</v>
      </c>
      <c r="M1" s="14" t="s">
        <v>130</v>
      </c>
      <c r="N1" s="11" t="s">
        <v>327</v>
      </c>
      <c r="O1" s="12" t="s">
        <v>328</v>
      </c>
    </row>
    <row r="2" spans="1:15" x14ac:dyDescent="0.25">
      <c r="A2" s="1" t="s">
        <v>269</v>
      </c>
      <c r="B2" s="1" t="s">
        <v>270</v>
      </c>
      <c r="C2" s="81" t="s">
        <v>14</v>
      </c>
      <c r="D2" s="1" t="s">
        <v>13</v>
      </c>
      <c r="E2" s="22" t="s">
        <v>16</v>
      </c>
      <c r="F2" s="82" t="s">
        <v>17</v>
      </c>
      <c r="G2" s="82" t="s">
        <v>18</v>
      </c>
      <c r="H2" s="82" t="s">
        <v>19</v>
      </c>
      <c r="I2" s="83" t="s">
        <v>20</v>
      </c>
    </row>
    <row r="3" spans="1:15" x14ac:dyDescent="0.25">
      <c r="A3" s="86" t="s">
        <v>0</v>
      </c>
      <c r="B3" s="13" t="s">
        <v>122</v>
      </c>
      <c r="C3" s="13"/>
      <c r="D3" s="3"/>
      <c r="E3" s="3">
        <v>61.3</v>
      </c>
      <c r="F3" s="3">
        <v>6.45</v>
      </c>
      <c r="G3" s="3">
        <v>14.6</v>
      </c>
      <c r="H3" s="3">
        <v>0.85</v>
      </c>
      <c r="I3" s="4">
        <v>0.05</v>
      </c>
      <c r="J3" s="3"/>
      <c r="K3" s="4">
        <v>26.2</v>
      </c>
      <c r="L3" s="2" t="s">
        <v>120</v>
      </c>
      <c r="M3" s="2" t="s">
        <v>131</v>
      </c>
      <c r="N3" s="13"/>
      <c r="O3" s="4" t="b">
        <v>1</v>
      </c>
    </row>
    <row r="4" spans="1:15" x14ac:dyDescent="0.25">
      <c r="A4" s="87"/>
      <c r="B4" s="5" t="s">
        <v>125</v>
      </c>
      <c r="E4">
        <v>61.9</v>
      </c>
      <c r="F4">
        <v>6</v>
      </c>
      <c r="G4">
        <v>29.5</v>
      </c>
      <c r="H4">
        <v>1.05</v>
      </c>
      <c r="I4" s="6">
        <v>0.03</v>
      </c>
      <c r="K4" s="6">
        <v>26.3</v>
      </c>
      <c r="L4" s="15" t="s">
        <v>120</v>
      </c>
      <c r="M4" s="15" t="s">
        <v>132</v>
      </c>
      <c r="O4" s="6" t="b">
        <v>1</v>
      </c>
    </row>
    <row r="5" spans="1:15" x14ac:dyDescent="0.25">
      <c r="A5" s="87"/>
      <c r="B5" s="5" t="s">
        <v>126</v>
      </c>
      <c r="E5">
        <v>58.8</v>
      </c>
      <c r="F5">
        <v>6.9</v>
      </c>
      <c r="G5">
        <v>33.700000000000003</v>
      </c>
      <c r="H5">
        <v>0.6</v>
      </c>
      <c r="L5" s="15" t="s">
        <v>120</v>
      </c>
      <c r="O5" s="6" t="b">
        <v>1</v>
      </c>
    </row>
    <row r="6" spans="1:15" x14ac:dyDescent="0.25">
      <c r="A6" s="87"/>
      <c r="B6" s="5" t="s">
        <v>127</v>
      </c>
      <c r="E6">
        <v>49.9</v>
      </c>
      <c r="F6">
        <v>7</v>
      </c>
      <c r="G6">
        <v>43</v>
      </c>
      <c r="H6"/>
      <c r="L6" s="15" t="s">
        <v>120</v>
      </c>
      <c r="M6" s="15" t="s">
        <v>133</v>
      </c>
      <c r="O6" s="6" t="b">
        <v>1</v>
      </c>
    </row>
    <row r="7" spans="1:15" x14ac:dyDescent="0.25">
      <c r="A7" s="87"/>
      <c r="B7" s="5" t="s">
        <v>128</v>
      </c>
      <c r="E7">
        <v>54.7</v>
      </c>
      <c r="F7">
        <v>6.4</v>
      </c>
      <c r="G7">
        <v>38.9</v>
      </c>
      <c r="H7"/>
      <c r="K7" s="6">
        <v>16.3</v>
      </c>
      <c r="L7" s="15" t="s">
        <v>120</v>
      </c>
      <c r="M7" s="15" t="s">
        <v>133</v>
      </c>
      <c r="O7" s="6" t="b">
        <v>1</v>
      </c>
    </row>
    <row r="8" spans="1:15" x14ac:dyDescent="0.25">
      <c r="A8" s="87"/>
      <c r="B8" s="5" t="s">
        <v>537</v>
      </c>
      <c r="E8">
        <v>54.7</v>
      </c>
      <c r="F8">
        <v>6.9</v>
      </c>
      <c r="G8">
        <v>38.4</v>
      </c>
      <c r="H8"/>
      <c r="K8" s="6">
        <v>23.2</v>
      </c>
      <c r="L8" s="15" t="s">
        <v>522</v>
      </c>
      <c r="M8" s="15" t="s">
        <v>133</v>
      </c>
      <c r="N8" s="5" t="b">
        <v>1</v>
      </c>
    </row>
    <row r="9" spans="1:15" x14ac:dyDescent="0.25">
      <c r="A9" s="87"/>
      <c r="B9" s="5" t="s">
        <v>538</v>
      </c>
      <c r="E9">
        <v>54</v>
      </c>
      <c r="F9">
        <v>6.8</v>
      </c>
      <c r="G9">
        <v>39.200000000000003</v>
      </c>
      <c r="H9"/>
      <c r="K9" s="6">
        <v>22.7</v>
      </c>
      <c r="L9" s="15" t="s">
        <v>522</v>
      </c>
      <c r="M9" s="15" t="s">
        <v>133</v>
      </c>
      <c r="N9" s="5" t="b">
        <v>1</v>
      </c>
    </row>
    <row r="10" spans="1:15" x14ac:dyDescent="0.25">
      <c r="A10" s="87"/>
      <c r="B10" s="5" t="s">
        <v>539</v>
      </c>
      <c r="E10">
        <v>54.7</v>
      </c>
      <c r="F10">
        <v>6.4</v>
      </c>
      <c r="G10">
        <v>38.9</v>
      </c>
      <c r="H10"/>
      <c r="K10" s="6">
        <v>22.4</v>
      </c>
      <c r="L10" s="15" t="s">
        <v>522</v>
      </c>
      <c r="M10" s="15" t="s">
        <v>133</v>
      </c>
      <c r="N10" s="5" t="b">
        <v>1</v>
      </c>
    </row>
    <row r="11" spans="1:15" x14ac:dyDescent="0.25">
      <c r="A11" s="87"/>
      <c r="B11" s="5" t="s">
        <v>129</v>
      </c>
      <c r="E11">
        <v>56.4</v>
      </c>
      <c r="F11">
        <v>6.2</v>
      </c>
      <c r="G11">
        <v>37.1</v>
      </c>
      <c r="H11">
        <v>0.2</v>
      </c>
      <c r="I11" s="6">
        <v>0.01</v>
      </c>
      <c r="K11" s="6">
        <v>23</v>
      </c>
      <c r="L11" s="15" t="s">
        <v>120</v>
      </c>
      <c r="M11" s="15" t="s">
        <v>133</v>
      </c>
      <c r="O11" s="6" t="b">
        <v>1</v>
      </c>
    </row>
    <row r="12" spans="1:15" x14ac:dyDescent="0.25">
      <c r="A12" s="87"/>
      <c r="B12" s="5" t="s">
        <v>525</v>
      </c>
      <c r="E12" t="s">
        <v>526</v>
      </c>
      <c r="F12" t="s">
        <v>527</v>
      </c>
      <c r="G12" t="s">
        <v>528</v>
      </c>
      <c r="H12" t="s">
        <v>529</v>
      </c>
      <c r="I12" s="6" t="s">
        <v>530</v>
      </c>
      <c r="K12" s="6" t="s">
        <v>531</v>
      </c>
      <c r="L12" s="15" t="s">
        <v>522</v>
      </c>
      <c r="M12" s="15" t="s">
        <v>133</v>
      </c>
      <c r="N12" s="5" t="b">
        <v>1</v>
      </c>
    </row>
    <row r="13" spans="1:15" x14ac:dyDescent="0.25">
      <c r="A13" s="87"/>
      <c r="B13" s="5" t="s">
        <v>532</v>
      </c>
      <c r="E13">
        <v>39.5</v>
      </c>
      <c r="F13">
        <v>7.5</v>
      </c>
      <c r="G13">
        <v>52.6</v>
      </c>
      <c r="H13">
        <v>0.1</v>
      </c>
      <c r="I13" s="6">
        <v>0</v>
      </c>
      <c r="K13" s="6">
        <v>24.3</v>
      </c>
      <c r="L13" s="15" t="s">
        <v>522</v>
      </c>
      <c r="M13" s="15" t="s">
        <v>500</v>
      </c>
      <c r="O13" s="6" t="b">
        <v>1</v>
      </c>
    </row>
    <row r="14" spans="1:15" x14ac:dyDescent="0.25">
      <c r="A14" s="87"/>
      <c r="B14" s="5" t="s">
        <v>540</v>
      </c>
      <c r="E14">
        <v>56.4</v>
      </c>
      <c r="F14">
        <v>6.2</v>
      </c>
      <c r="G14">
        <v>37.299999999999997</v>
      </c>
      <c r="H14">
        <v>0.1</v>
      </c>
      <c r="I14" s="6">
        <v>0</v>
      </c>
      <c r="K14" s="6" t="s">
        <v>541</v>
      </c>
      <c r="L14" s="15" t="s">
        <v>522</v>
      </c>
      <c r="O14" s="6" t="b">
        <v>1</v>
      </c>
    </row>
    <row r="15" spans="1:15" x14ac:dyDescent="0.25">
      <c r="A15" s="87"/>
      <c r="B15" s="5" t="s">
        <v>535</v>
      </c>
      <c r="E15">
        <v>55.4</v>
      </c>
      <c r="F15">
        <v>8.4</v>
      </c>
      <c r="G15">
        <v>35.299999999999997</v>
      </c>
      <c r="H15">
        <v>0.6</v>
      </c>
      <c r="I15" s="6">
        <v>0.01</v>
      </c>
      <c r="K15" s="6">
        <v>23</v>
      </c>
      <c r="L15" s="15" t="s">
        <v>522</v>
      </c>
      <c r="M15" s="15" t="s">
        <v>132</v>
      </c>
      <c r="N15" s="5" t="b">
        <v>1</v>
      </c>
    </row>
    <row r="16" spans="1:15" x14ac:dyDescent="0.25">
      <c r="A16" s="87"/>
      <c r="B16" s="5" t="s">
        <v>534</v>
      </c>
      <c r="E16">
        <v>46.5</v>
      </c>
      <c r="F16">
        <v>7.2</v>
      </c>
      <c r="G16">
        <v>46.1</v>
      </c>
      <c r="H16">
        <v>0.15</v>
      </c>
      <c r="I16" s="6">
        <v>0</v>
      </c>
      <c r="K16" s="6">
        <v>18.600000000000001</v>
      </c>
      <c r="L16" s="15" t="s">
        <v>522</v>
      </c>
      <c r="M16" s="15" t="s">
        <v>500</v>
      </c>
      <c r="N16" s="5" t="b">
        <v>1</v>
      </c>
    </row>
    <row r="17" spans="1:15" x14ac:dyDescent="0.25">
      <c r="A17" s="87"/>
      <c r="B17" s="5" t="s">
        <v>533</v>
      </c>
      <c r="E17">
        <v>57.3</v>
      </c>
      <c r="F17">
        <v>6.3</v>
      </c>
      <c r="G17">
        <v>6.3</v>
      </c>
      <c r="H17">
        <v>0.18</v>
      </c>
      <c r="I17" s="6">
        <v>0</v>
      </c>
      <c r="K17" s="6">
        <v>23</v>
      </c>
      <c r="L17" s="15" t="s">
        <v>522</v>
      </c>
      <c r="M17" s="15" t="s">
        <v>500</v>
      </c>
      <c r="N17" s="5" t="b">
        <v>1</v>
      </c>
    </row>
    <row r="18" spans="1:15" x14ac:dyDescent="0.25">
      <c r="A18" s="87"/>
      <c r="B18" s="5" t="s">
        <v>572</v>
      </c>
      <c r="E18">
        <v>38.5</v>
      </c>
      <c r="F18">
        <v>7.8</v>
      </c>
      <c r="G18">
        <v>53.4</v>
      </c>
      <c r="H18">
        <v>0.3</v>
      </c>
      <c r="K18" s="6">
        <v>17</v>
      </c>
      <c r="L18" s="15" t="s">
        <v>570</v>
      </c>
      <c r="O18" s="6" t="b">
        <v>1</v>
      </c>
    </row>
    <row r="19" spans="1:15" x14ac:dyDescent="0.25">
      <c r="A19" s="87"/>
      <c r="B19" s="5" t="s">
        <v>573</v>
      </c>
      <c r="E19">
        <v>45.7</v>
      </c>
      <c r="F19">
        <v>4</v>
      </c>
      <c r="G19">
        <v>47</v>
      </c>
      <c r="H19">
        <v>0.1</v>
      </c>
      <c r="K19" s="6">
        <v>19.27</v>
      </c>
      <c r="L19" s="15" t="s">
        <v>570</v>
      </c>
      <c r="O19" s="6" t="b">
        <v>1</v>
      </c>
    </row>
    <row r="20" spans="1:15" x14ac:dyDescent="0.25">
      <c r="A20" s="87"/>
      <c r="B20" s="5" t="s">
        <v>123</v>
      </c>
      <c r="E20">
        <v>61.9</v>
      </c>
      <c r="F20">
        <v>6</v>
      </c>
      <c r="G20">
        <v>14.92</v>
      </c>
      <c r="H20">
        <v>1.05</v>
      </c>
      <c r="I20" s="6">
        <v>0.03</v>
      </c>
      <c r="K20" s="6">
        <v>26.2</v>
      </c>
      <c r="L20" s="15" t="s">
        <v>120</v>
      </c>
      <c r="M20" s="15" t="s">
        <v>131</v>
      </c>
      <c r="O20" s="6" t="b">
        <v>1</v>
      </c>
    </row>
    <row r="21" spans="1:15" x14ac:dyDescent="0.25">
      <c r="A21" s="87"/>
      <c r="B21" s="5" t="s">
        <v>523</v>
      </c>
      <c r="E21">
        <v>58.12</v>
      </c>
      <c r="F21">
        <v>6.55</v>
      </c>
      <c r="G21">
        <v>34.81</v>
      </c>
      <c r="H21">
        <v>0.52</v>
      </c>
      <c r="K21" s="6">
        <v>22.2</v>
      </c>
      <c r="L21" s="15" t="s">
        <v>522</v>
      </c>
      <c r="M21" s="15" t="s">
        <v>524</v>
      </c>
      <c r="N21" s="5" t="b">
        <v>1</v>
      </c>
    </row>
    <row r="22" spans="1:15" x14ac:dyDescent="0.25">
      <c r="A22" s="87"/>
      <c r="B22" s="5" t="s">
        <v>112</v>
      </c>
      <c r="E22">
        <v>55.1</v>
      </c>
      <c r="F22">
        <v>7.2</v>
      </c>
      <c r="G22">
        <v>35.1</v>
      </c>
      <c r="H22">
        <v>2</v>
      </c>
      <c r="I22" s="6">
        <v>0.6</v>
      </c>
      <c r="K22" s="6">
        <v>20.9</v>
      </c>
      <c r="L22" s="15" t="s">
        <v>522</v>
      </c>
      <c r="M22" s="15" t="s">
        <v>524</v>
      </c>
      <c r="N22" s="5" t="b">
        <v>1</v>
      </c>
    </row>
    <row r="23" spans="1:15" x14ac:dyDescent="0.25">
      <c r="A23" s="87"/>
      <c r="B23" s="5" t="s">
        <v>786</v>
      </c>
      <c r="C23" s="5">
        <v>5.0000000000000001E-3</v>
      </c>
      <c r="D23">
        <v>29.7</v>
      </c>
      <c r="E23">
        <v>64.400000000000006</v>
      </c>
      <c r="F23">
        <v>7</v>
      </c>
      <c r="G23">
        <v>28.3</v>
      </c>
      <c r="H23">
        <v>0.3</v>
      </c>
      <c r="J23">
        <v>17.2</v>
      </c>
      <c r="K23" s="6">
        <v>19</v>
      </c>
      <c r="L23" s="15" t="s">
        <v>779</v>
      </c>
      <c r="M23" s="15" t="s">
        <v>500</v>
      </c>
      <c r="N23" s="5" t="b">
        <v>1</v>
      </c>
    </row>
    <row r="24" spans="1:15" x14ac:dyDescent="0.25">
      <c r="A24" s="87"/>
      <c r="B24" s="5" t="s">
        <v>787</v>
      </c>
      <c r="C24" s="5">
        <v>1E-3</v>
      </c>
      <c r="D24">
        <v>27.2</v>
      </c>
      <c r="E24">
        <v>59.3</v>
      </c>
      <c r="F24">
        <v>6.6</v>
      </c>
      <c r="G24">
        <v>33.799999999999997</v>
      </c>
      <c r="H24">
        <v>0.19</v>
      </c>
      <c r="J24">
        <v>15.8</v>
      </c>
      <c r="K24" s="6">
        <v>17.5</v>
      </c>
      <c r="L24" s="15" t="s">
        <v>779</v>
      </c>
      <c r="M24" s="15" t="s">
        <v>500</v>
      </c>
      <c r="N24" s="5" t="b">
        <v>1</v>
      </c>
    </row>
    <row r="25" spans="1:15" x14ac:dyDescent="0.25">
      <c r="A25" s="87"/>
      <c r="B25" s="5" t="s">
        <v>788</v>
      </c>
      <c r="C25" s="5">
        <v>1E-3</v>
      </c>
      <c r="D25">
        <v>20.6</v>
      </c>
      <c r="E25">
        <v>57.1</v>
      </c>
      <c r="F25">
        <v>6.6</v>
      </c>
      <c r="G25">
        <v>36.299999999999997</v>
      </c>
      <c r="H25">
        <v>0.04</v>
      </c>
      <c r="I25" s="6">
        <v>0.04</v>
      </c>
      <c r="J25">
        <v>16</v>
      </c>
      <c r="K25" s="6">
        <v>17.600000000000001</v>
      </c>
      <c r="L25" s="15" t="s">
        <v>779</v>
      </c>
      <c r="M25" s="15" t="s">
        <v>500</v>
      </c>
      <c r="N25" s="5" t="b">
        <v>1</v>
      </c>
    </row>
    <row r="26" spans="1:15" x14ac:dyDescent="0.25">
      <c r="A26" s="87"/>
      <c r="B26" s="5" t="s">
        <v>785</v>
      </c>
      <c r="E26">
        <v>49</v>
      </c>
      <c r="F26">
        <v>6</v>
      </c>
      <c r="G26">
        <v>44.1</v>
      </c>
      <c r="H26">
        <v>0.1</v>
      </c>
      <c r="I26" s="6">
        <v>0.03</v>
      </c>
      <c r="J26">
        <v>18.2</v>
      </c>
      <c r="K26" s="6">
        <v>19.5</v>
      </c>
      <c r="L26" s="15" t="s">
        <v>779</v>
      </c>
      <c r="M26" s="15" t="s">
        <v>500</v>
      </c>
      <c r="O26" s="6" t="b">
        <v>1</v>
      </c>
    </row>
    <row r="27" spans="1:15" x14ac:dyDescent="0.25">
      <c r="A27" s="87"/>
      <c r="B27" s="5" t="s">
        <v>780</v>
      </c>
      <c r="C27" s="5">
        <v>1.6E-2</v>
      </c>
      <c r="D27">
        <v>18.899999999999999</v>
      </c>
      <c r="E27">
        <v>45.8</v>
      </c>
      <c r="F27">
        <v>5.3</v>
      </c>
      <c r="G27">
        <v>28.9</v>
      </c>
      <c r="H27">
        <v>0.25</v>
      </c>
      <c r="I27" s="6">
        <v>0.03</v>
      </c>
      <c r="J27">
        <v>17.3</v>
      </c>
      <c r="K27" s="6">
        <v>18.899999999999999</v>
      </c>
      <c r="L27" s="15" t="s">
        <v>779</v>
      </c>
      <c r="M27" s="15" t="s">
        <v>500</v>
      </c>
      <c r="N27" s="5" t="b">
        <v>1</v>
      </c>
    </row>
    <row r="28" spans="1:15" x14ac:dyDescent="0.25">
      <c r="A28" s="87"/>
      <c r="B28" s="5" t="s">
        <v>781</v>
      </c>
      <c r="C28" s="5">
        <v>1.6E-2</v>
      </c>
      <c r="D28">
        <v>19.600000000000001</v>
      </c>
      <c r="E28">
        <v>47.4</v>
      </c>
      <c r="F28">
        <v>5.3</v>
      </c>
      <c r="G28">
        <v>27.5</v>
      </c>
      <c r="H28">
        <v>0.13</v>
      </c>
      <c r="I28" s="6">
        <v>0.02</v>
      </c>
      <c r="J28">
        <v>17.5</v>
      </c>
      <c r="K28" s="6">
        <v>19.2</v>
      </c>
      <c r="L28" s="15" t="s">
        <v>779</v>
      </c>
      <c r="M28" s="15" t="s">
        <v>500</v>
      </c>
      <c r="N28" s="5" t="b">
        <v>1</v>
      </c>
    </row>
    <row r="29" spans="1:15" x14ac:dyDescent="0.25">
      <c r="A29" s="87"/>
      <c r="B29" s="5" t="s">
        <v>782</v>
      </c>
      <c r="C29" s="5">
        <v>1.7999999999999999E-2</v>
      </c>
      <c r="D29">
        <v>20</v>
      </c>
      <c r="E29">
        <v>45.6</v>
      </c>
      <c r="F29">
        <v>5.4</v>
      </c>
      <c r="G29">
        <v>29</v>
      </c>
      <c r="H29">
        <v>0.05</v>
      </c>
      <c r="I29" s="6">
        <v>0.02</v>
      </c>
      <c r="J29">
        <v>16.600000000000001</v>
      </c>
      <c r="K29" s="6">
        <v>18.5</v>
      </c>
      <c r="L29" s="15" t="s">
        <v>779</v>
      </c>
      <c r="M29" s="15" t="s">
        <v>500</v>
      </c>
      <c r="N29" s="5" t="b">
        <v>1</v>
      </c>
    </row>
    <row r="30" spans="1:15" x14ac:dyDescent="0.25">
      <c r="A30" s="87"/>
      <c r="B30" s="5" t="s">
        <v>783</v>
      </c>
      <c r="C30" s="5">
        <v>1.7999999999999999E-2</v>
      </c>
      <c r="D30">
        <v>19.600000000000001</v>
      </c>
      <c r="E30">
        <v>47</v>
      </c>
      <c r="F30">
        <v>5.0999999999999996</v>
      </c>
      <c r="G30">
        <v>28.1</v>
      </c>
      <c r="H30">
        <v>0.09</v>
      </c>
      <c r="I30" s="6">
        <v>0.04</v>
      </c>
      <c r="J30">
        <v>17.5</v>
      </c>
      <c r="K30" s="6">
        <v>19.100000000000001</v>
      </c>
      <c r="L30" s="15" t="s">
        <v>779</v>
      </c>
      <c r="M30" s="15" t="s">
        <v>500</v>
      </c>
      <c r="N30" s="5" t="b">
        <v>1</v>
      </c>
    </row>
    <row r="31" spans="1:15" x14ac:dyDescent="0.25">
      <c r="A31" s="87"/>
      <c r="B31" s="5" t="s">
        <v>784</v>
      </c>
      <c r="C31" s="5">
        <v>7.0000000000000001E-3</v>
      </c>
      <c r="D31">
        <v>16.8</v>
      </c>
      <c r="E31">
        <v>48.1</v>
      </c>
      <c r="F31">
        <v>5.3</v>
      </c>
      <c r="G31">
        <v>29.6</v>
      </c>
      <c r="H31">
        <v>0.14000000000000001</v>
      </c>
      <c r="I31" s="6">
        <v>0.04</v>
      </c>
      <c r="J31">
        <v>17.3</v>
      </c>
      <c r="K31" s="6">
        <v>18.8</v>
      </c>
      <c r="L31" s="15" t="s">
        <v>779</v>
      </c>
      <c r="M31" s="15" t="s">
        <v>500</v>
      </c>
      <c r="N31" s="5" t="b">
        <v>1</v>
      </c>
    </row>
    <row r="32" spans="1:15" x14ac:dyDescent="0.25">
      <c r="A32" s="87"/>
      <c r="B32" s="5" t="s">
        <v>521</v>
      </c>
      <c r="E32">
        <v>50.2</v>
      </c>
      <c r="F32">
        <v>7.1</v>
      </c>
      <c r="G32">
        <v>42.7</v>
      </c>
      <c r="H32">
        <v>0</v>
      </c>
      <c r="I32" s="6">
        <v>0</v>
      </c>
      <c r="K32" s="6">
        <v>19</v>
      </c>
      <c r="L32" s="15" t="s">
        <v>522</v>
      </c>
      <c r="M32" s="15" t="s">
        <v>511</v>
      </c>
      <c r="N32" s="5" t="b">
        <v>1</v>
      </c>
    </row>
    <row r="33" spans="1:29" x14ac:dyDescent="0.25">
      <c r="A33" s="88"/>
      <c r="B33" s="7" t="s">
        <v>119</v>
      </c>
      <c r="C33" s="7"/>
      <c r="D33" s="10"/>
      <c r="E33" s="10">
        <v>63.2</v>
      </c>
      <c r="F33" s="10">
        <v>6.7</v>
      </c>
      <c r="G33" s="10">
        <v>30.1</v>
      </c>
      <c r="H33" s="10"/>
      <c r="I33" s="8"/>
      <c r="J33" s="10">
        <v>26.2</v>
      </c>
      <c r="K33" s="8"/>
      <c r="L33" s="16" t="s">
        <v>120</v>
      </c>
      <c r="M33" s="16" t="s">
        <v>131</v>
      </c>
      <c r="N33" s="7" t="b">
        <v>1</v>
      </c>
      <c r="O33" s="8"/>
      <c r="AC33" t="s">
        <v>329</v>
      </c>
    </row>
    <row r="34" spans="1:29" x14ac:dyDescent="0.25">
      <c r="A34" s="89" t="s">
        <v>178</v>
      </c>
      <c r="B34" s="40" t="s">
        <v>267</v>
      </c>
      <c r="C34" s="13"/>
      <c r="D34" s="3"/>
      <c r="E34" s="3">
        <v>67.17</v>
      </c>
      <c r="F34" s="3">
        <v>9</v>
      </c>
      <c r="G34" s="3">
        <v>13.06</v>
      </c>
      <c r="H34" s="3">
        <v>10.78</v>
      </c>
      <c r="I34" s="4"/>
      <c r="J34" s="3"/>
      <c r="K34" s="4"/>
      <c r="L34" s="23" t="s">
        <v>268</v>
      </c>
      <c r="M34" s="2" t="s">
        <v>473</v>
      </c>
      <c r="N34" s="13" t="b">
        <v>1</v>
      </c>
      <c r="O34" s="4"/>
    </row>
    <row r="35" spans="1:29" x14ac:dyDescent="0.25">
      <c r="A35" s="90"/>
      <c r="B35" t="s">
        <v>462</v>
      </c>
      <c r="E35">
        <v>67.900000000000006</v>
      </c>
      <c r="F35">
        <v>8.6999999999999993</v>
      </c>
      <c r="G35">
        <v>21.7</v>
      </c>
      <c r="H35">
        <v>1.7</v>
      </c>
      <c r="K35" s="6">
        <v>31.6</v>
      </c>
      <c r="L35" s="15" t="s">
        <v>100</v>
      </c>
      <c r="N35" s="5" t="b">
        <v>1</v>
      </c>
    </row>
    <row r="36" spans="1:29" x14ac:dyDescent="0.25">
      <c r="A36" s="90"/>
      <c r="B36" t="s">
        <v>463</v>
      </c>
      <c r="E36" s="59">
        <v>42.3</v>
      </c>
      <c r="F36" s="59">
        <v>7.9</v>
      </c>
      <c r="G36" s="59">
        <v>49.4</v>
      </c>
      <c r="H36" s="59">
        <v>0.3</v>
      </c>
      <c r="I36" s="60">
        <v>0.2</v>
      </c>
      <c r="L36" s="15" t="s">
        <v>96</v>
      </c>
      <c r="N36" s="5" t="b">
        <v>1</v>
      </c>
    </row>
    <row r="37" spans="1:29" x14ac:dyDescent="0.25">
      <c r="A37" s="90"/>
      <c r="B37" t="s">
        <v>283</v>
      </c>
      <c r="E37"/>
      <c r="H37">
        <v>2.1825999999999999</v>
      </c>
      <c r="K37" s="6">
        <v>34.14</v>
      </c>
      <c r="L37" s="15" t="s">
        <v>282</v>
      </c>
    </row>
    <row r="38" spans="1:29" x14ac:dyDescent="0.25">
      <c r="A38" s="90"/>
      <c r="B38" t="s">
        <v>284</v>
      </c>
      <c r="E38"/>
      <c r="H38">
        <v>2.1011000000000002</v>
      </c>
      <c r="K38" s="6">
        <v>34.28</v>
      </c>
      <c r="L38" s="15" t="s">
        <v>282</v>
      </c>
    </row>
    <row r="39" spans="1:29" x14ac:dyDescent="0.25">
      <c r="A39" s="90"/>
      <c r="B39" t="s">
        <v>285</v>
      </c>
      <c r="E39"/>
      <c r="H39">
        <v>0.87250000000000005</v>
      </c>
      <c r="K39" s="6">
        <v>34.44</v>
      </c>
      <c r="L39" s="15" t="s">
        <v>282</v>
      </c>
    </row>
    <row r="40" spans="1:29" x14ac:dyDescent="0.25">
      <c r="A40" s="90"/>
      <c r="B40" t="s">
        <v>286</v>
      </c>
      <c r="E40"/>
      <c r="H40">
        <v>10.873200000000001</v>
      </c>
      <c r="K40" s="6">
        <v>34.75</v>
      </c>
      <c r="L40" s="15" t="s">
        <v>282</v>
      </c>
    </row>
    <row r="41" spans="1:29" x14ac:dyDescent="0.25">
      <c r="A41" s="90"/>
      <c r="B41" t="s">
        <v>287</v>
      </c>
      <c r="E41"/>
      <c r="H41">
        <v>6.6935000000000002</v>
      </c>
      <c r="K41" s="6">
        <v>34.979999999999997</v>
      </c>
      <c r="L41" s="15" t="s">
        <v>282</v>
      </c>
    </row>
    <row r="42" spans="1:29" x14ac:dyDescent="0.25">
      <c r="A42" s="90"/>
      <c r="B42" t="s">
        <v>288</v>
      </c>
      <c r="E42"/>
      <c r="H42">
        <v>3.7324000000000002</v>
      </c>
      <c r="K42" s="6">
        <v>35.340000000000003</v>
      </c>
      <c r="L42" s="15" t="s">
        <v>282</v>
      </c>
    </row>
    <row r="43" spans="1:29" x14ac:dyDescent="0.25">
      <c r="A43" s="90"/>
      <c r="B43" t="s">
        <v>565</v>
      </c>
      <c r="E43">
        <v>32.729999999999997</v>
      </c>
      <c r="F43">
        <v>5.56</v>
      </c>
      <c r="G43">
        <v>60.54</v>
      </c>
      <c r="H43">
        <v>0.98</v>
      </c>
      <c r="K43" s="6">
        <v>10.75</v>
      </c>
      <c r="L43" s="15" t="s">
        <v>570</v>
      </c>
      <c r="O43" s="6" t="b">
        <v>1</v>
      </c>
    </row>
    <row r="44" spans="1:29" x14ac:dyDescent="0.25">
      <c r="A44" s="90"/>
      <c r="B44" t="s">
        <v>567</v>
      </c>
      <c r="E44">
        <v>53.97</v>
      </c>
      <c r="F44">
        <v>6.92</v>
      </c>
      <c r="G44">
        <v>37.94</v>
      </c>
      <c r="H44">
        <v>1.18</v>
      </c>
      <c r="K44" s="6">
        <v>22.1</v>
      </c>
      <c r="L44" s="15" t="s">
        <v>570</v>
      </c>
      <c r="O44" s="6" t="b">
        <v>1</v>
      </c>
    </row>
    <row r="45" spans="1:29" x14ac:dyDescent="0.25">
      <c r="A45" s="90"/>
      <c r="B45" t="s">
        <v>566</v>
      </c>
      <c r="E45">
        <v>59.14</v>
      </c>
      <c r="F45">
        <v>5.47</v>
      </c>
      <c r="G45">
        <v>30.84</v>
      </c>
      <c r="H45">
        <v>4.21</v>
      </c>
      <c r="K45" s="6">
        <v>19.75</v>
      </c>
      <c r="L45" s="15" t="s">
        <v>570</v>
      </c>
      <c r="O45" s="6" t="b">
        <v>1</v>
      </c>
    </row>
    <row r="46" spans="1:29" x14ac:dyDescent="0.25">
      <c r="A46" s="90"/>
      <c r="B46" t="s">
        <v>466</v>
      </c>
      <c r="E46">
        <v>61.15</v>
      </c>
      <c r="F46">
        <v>9.07</v>
      </c>
      <c r="G46">
        <v>28.7</v>
      </c>
      <c r="H46">
        <v>1.0900000000000001</v>
      </c>
      <c r="K46" s="6">
        <v>29.61</v>
      </c>
      <c r="L46" s="15" t="s">
        <v>279</v>
      </c>
      <c r="M46" s="15" t="s">
        <v>472</v>
      </c>
      <c r="N46" s="5" t="b">
        <v>1</v>
      </c>
    </row>
    <row r="47" spans="1:29" x14ac:dyDescent="0.25">
      <c r="A47" s="90"/>
      <c r="B47" t="s">
        <v>467</v>
      </c>
      <c r="E47">
        <v>66.75</v>
      </c>
      <c r="F47">
        <v>9.32</v>
      </c>
      <c r="G47">
        <v>22.23</v>
      </c>
      <c r="H47">
        <v>1.71</v>
      </c>
      <c r="K47" s="6">
        <v>32.6</v>
      </c>
      <c r="L47" s="15" t="s">
        <v>279</v>
      </c>
      <c r="M47" s="15" t="s">
        <v>472</v>
      </c>
      <c r="N47" s="5" t="b">
        <v>1</v>
      </c>
    </row>
    <row r="48" spans="1:29" x14ac:dyDescent="0.25">
      <c r="A48" s="90"/>
      <c r="B48" t="s">
        <v>468</v>
      </c>
      <c r="E48">
        <v>58.93</v>
      </c>
      <c r="F48">
        <v>8.67</v>
      </c>
      <c r="G48">
        <v>31.73</v>
      </c>
      <c r="H48">
        <v>0.69</v>
      </c>
      <c r="K48" s="6">
        <v>27.97</v>
      </c>
      <c r="L48" s="15" t="s">
        <v>279</v>
      </c>
      <c r="M48" s="15" t="s">
        <v>472</v>
      </c>
      <c r="N48" s="5" t="b">
        <v>1</v>
      </c>
    </row>
    <row r="49" spans="1:23" x14ac:dyDescent="0.25">
      <c r="A49" s="90"/>
      <c r="B49" t="s">
        <v>469</v>
      </c>
      <c r="E49">
        <v>15.1</v>
      </c>
      <c r="F49">
        <v>9.08</v>
      </c>
      <c r="G49">
        <v>75.680000000000007</v>
      </c>
      <c r="H49">
        <v>0.15</v>
      </c>
      <c r="K49" s="6">
        <v>10.49</v>
      </c>
      <c r="L49" s="15" t="s">
        <v>279</v>
      </c>
      <c r="M49" s="15" t="s">
        <v>472</v>
      </c>
      <c r="N49" s="5" t="b">
        <v>1</v>
      </c>
    </row>
    <row r="50" spans="1:23" x14ac:dyDescent="0.25">
      <c r="A50" s="90"/>
      <c r="B50" t="s">
        <v>470</v>
      </c>
      <c r="E50">
        <v>14.97</v>
      </c>
      <c r="F50">
        <v>12.03</v>
      </c>
      <c r="G50">
        <v>72.3</v>
      </c>
      <c r="H50">
        <v>0.72</v>
      </c>
      <c r="K50" s="6">
        <v>14.78</v>
      </c>
      <c r="L50" s="15" t="s">
        <v>279</v>
      </c>
      <c r="M50" s="15" t="s">
        <v>472</v>
      </c>
      <c r="N50" s="5" t="b">
        <v>1</v>
      </c>
    </row>
    <row r="51" spans="1:23" x14ac:dyDescent="0.25">
      <c r="A51" s="90"/>
      <c r="B51" t="s">
        <v>471</v>
      </c>
      <c r="E51">
        <v>15.29</v>
      </c>
      <c r="F51">
        <v>10.18</v>
      </c>
      <c r="G51">
        <v>74.010000000000005</v>
      </c>
      <c r="H51">
        <v>0.54</v>
      </c>
      <c r="K51" s="6">
        <v>12.18</v>
      </c>
      <c r="L51" s="15" t="s">
        <v>279</v>
      </c>
      <c r="M51" s="15" t="s">
        <v>472</v>
      </c>
      <c r="N51" s="5" t="b">
        <v>1</v>
      </c>
    </row>
    <row r="52" spans="1:23" x14ac:dyDescent="0.25">
      <c r="A52" s="90"/>
      <c r="B52" t="s">
        <v>474</v>
      </c>
      <c r="E52">
        <v>71.959999999999994</v>
      </c>
      <c r="F52">
        <v>8.09</v>
      </c>
      <c r="G52">
        <v>17.260000000000002</v>
      </c>
      <c r="H52">
        <v>2.66</v>
      </c>
      <c r="K52" s="6">
        <v>32.9</v>
      </c>
      <c r="L52" s="15" t="s">
        <v>274</v>
      </c>
      <c r="M52" s="15" t="s">
        <v>473</v>
      </c>
      <c r="N52" s="5" t="b">
        <v>1</v>
      </c>
    </row>
    <row r="53" spans="1:23" x14ac:dyDescent="0.25">
      <c r="A53" s="90"/>
      <c r="B53" t="s">
        <v>475</v>
      </c>
      <c r="E53">
        <v>74.94</v>
      </c>
      <c r="F53">
        <v>8.4</v>
      </c>
      <c r="G53">
        <v>13.73</v>
      </c>
      <c r="H53">
        <v>2.93</v>
      </c>
      <c r="K53" s="6">
        <v>35</v>
      </c>
      <c r="L53" s="15" t="s">
        <v>274</v>
      </c>
      <c r="M53" s="15" t="s">
        <v>473</v>
      </c>
      <c r="N53" s="5" t="b">
        <v>1</v>
      </c>
    </row>
    <row r="54" spans="1:23" ht="13.5" customHeight="1" x14ac:dyDescent="0.25">
      <c r="A54" s="90"/>
      <c r="B54" t="s">
        <v>476</v>
      </c>
      <c r="E54">
        <v>69.28</v>
      </c>
      <c r="F54">
        <v>7.82</v>
      </c>
      <c r="G54">
        <v>20.57</v>
      </c>
      <c r="H54">
        <v>2.33</v>
      </c>
      <c r="K54" s="41">
        <v>31.01</v>
      </c>
      <c r="L54" s="15" t="s">
        <v>274</v>
      </c>
      <c r="M54" s="15" t="s">
        <v>473</v>
      </c>
      <c r="N54" s="5" t="b">
        <v>1</v>
      </c>
    </row>
    <row r="55" spans="1:23" x14ac:dyDescent="0.25">
      <c r="A55" s="91"/>
      <c r="B55" s="10" t="s">
        <v>477</v>
      </c>
      <c r="C55" s="7"/>
      <c r="D55" s="10"/>
      <c r="E55" s="10">
        <v>72.05</v>
      </c>
      <c r="F55" s="10">
        <v>8.2200000000000006</v>
      </c>
      <c r="G55" s="10">
        <v>16.760000000000002</v>
      </c>
      <c r="H55" s="10">
        <v>2.97</v>
      </c>
      <c r="I55" s="8"/>
      <c r="J55" s="10"/>
      <c r="K55" s="8">
        <v>33.21</v>
      </c>
      <c r="L55" s="16" t="s">
        <v>274</v>
      </c>
      <c r="M55" s="16" t="s">
        <v>473</v>
      </c>
      <c r="N55" s="7" t="b">
        <v>1</v>
      </c>
      <c r="O55" s="8"/>
    </row>
    <row r="56" spans="1:23" ht="15" customHeight="1" x14ac:dyDescent="0.25">
      <c r="A56" s="92" t="s">
        <v>4</v>
      </c>
      <c r="B56" s="34" t="s">
        <v>105</v>
      </c>
      <c r="C56" s="13"/>
      <c r="D56" s="3"/>
      <c r="E56" s="3">
        <v>61.69</v>
      </c>
      <c r="F56" s="3">
        <v>7.96</v>
      </c>
      <c r="G56" s="3">
        <v>29.37</v>
      </c>
      <c r="H56" s="3">
        <v>0.98</v>
      </c>
      <c r="I56" s="4"/>
      <c r="J56" s="3"/>
      <c r="K56" s="41">
        <v>27</v>
      </c>
      <c r="L56" s="23" t="s">
        <v>103</v>
      </c>
      <c r="M56" s="23"/>
      <c r="N56" s="13" t="b">
        <v>1</v>
      </c>
      <c r="O56" s="4"/>
    </row>
    <row r="57" spans="1:23" x14ac:dyDescent="0.25">
      <c r="A57" s="93"/>
      <c r="B57" t="s">
        <v>465</v>
      </c>
      <c r="E57">
        <v>73.900000000000006</v>
      </c>
      <c r="F57">
        <v>9.1999999999999993</v>
      </c>
      <c r="G57">
        <v>14.3</v>
      </c>
      <c r="H57">
        <v>2.5</v>
      </c>
      <c r="K57" s="6">
        <v>36.799999999999997</v>
      </c>
      <c r="L57" s="15" t="s">
        <v>293</v>
      </c>
      <c r="M57" s="15" t="s">
        <v>295</v>
      </c>
      <c r="N57" s="5" t="b">
        <v>1</v>
      </c>
    </row>
    <row r="58" spans="1:23" x14ac:dyDescent="0.25">
      <c r="A58" s="93"/>
      <c r="B58" t="s">
        <v>464</v>
      </c>
      <c r="E58">
        <v>69.599999999999994</v>
      </c>
      <c r="F58">
        <v>10.5</v>
      </c>
      <c r="G58">
        <v>16.600000000000001</v>
      </c>
      <c r="H58">
        <v>3.1</v>
      </c>
      <c r="K58" s="6">
        <v>34.9</v>
      </c>
      <c r="L58" s="15" t="s">
        <v>293</v>
      </c>
      <c r="M58" s="15" t="s">
        <v>295</v>
      </c>
      <c r="N58" s="5" t="b">
        <v>1</v>
      </c>
      <c r="R58" t="s">
        <v>109</v>
      </c>
    </row>
    <row r="59" spans="1:23" x14ac:dyDescent="0.25">
      <c r="A59" s="93"/>
      <c r="B59" t="s">
        <v>536</v>
      </c>
      <c r="E59">
        <v>72.62</v>
      </c>
      <c r="F59">
        <v>10.75</v>
      </c>
      <c r="G59">
        <v>15.06</v>
      </c>
      <c r="H59">
        <v>1.27</v>
      </c>
      <c r="I59" s="6">
        <v>0.24</v>
      </c>
      <c r="L59" s="15" t="s">
        <v>522</v>
      </c>
      <c r="M59" s="15" t="s">
        <v>511</v>
      </c>
      <c r="N59" s="5" t="b">
        <v>1</v>
      </c>
      <c r="R59" t="s">
        <v>110</v>
      </c>
    </row>
    <row r="60" spans="1:23" x14ac:dyDescent="0.25">
      <c r="A60" s="93"/>
      <c r="B60" t="s">
        <v>550</v>
      </c>
      <c r="E60">
        <v>75.069999999999993</v>
      </c>
      <c r="F60">
        <v>9.15</v>
      </c>
      <c r="G60">
        <v>11.84</v>
      </c>
      <c r="H60">
        <v>3.8</v>
      </c>
      <c r="I60" s="6">
        <v>0.14000000000000001</v>
      </c>
      <c r="K60" s="6">
        <v>30.05</v>
      </c>
      <c r="L60" s="15" t="s">
        <v>548</v>
      </c>
      <c r="M60" s="15" t="s">
        <v>551</v>
      </c>
      <c r="N60" s="5" t="b">
        <v>1</v>
      </c>
      <c r="R60" t="s">
        <v>111</v>
      </c>
      <c r="W60" t="s">
        <v>478</v>
      </c>
    </row>
    <row r="61" spans="1:23" x14ac:dyDescent="0.25">
      <c r="A61" s="93"/>
      <c r="B61" s="21" t="s">
        <v>554</v>
      </c>
      <c r="C61" s="21"/>
      <c r="D61" s="74"/>
      <c r="E61">
        <v>62.25</v>
      </c>
      <c r="F61">
        <v>6.39</v>
      </c>
      <c r="G61">
        <v>30.18</v>
      </c>
      <c r="H61">
        <v>1.18</v>
      </c>
      <c r="K61" s="6">
        <v>25.352</v>
      </c>
      <c r="L61" s="15" t="s">
        <v>556</v>
      </c>
      <c r="M61" s="15" t="s">
        <v>473</v>
      </c>
      <c r="O61" s="15" t="b">
        <v>1</v>
      </c>
    </row>
    <row r="62" spans="1:23" x14ac:dyDescent="0.25">
      <c r="A62" s="93"/>
      <c r="B62" s="21" t="s">
        <v>563</v>
      </c>
      <c r="C62" s="21"/>
      <c r="D62" s="74"/>
      <c r="E62">
        <v>51.2</v>
      </c>
      <c r="F62">
        <v>6.1</v>
      </c>
      <c r="G62">
        <v>42.3</v>
      </c>
      <c r="H62">
        <v>0.4</v>
      </c>
      <c r="K62" s="6">
        <v>19.600000000000001</v>
      </c>
      <c r="L62" s="15" t="s">
        <v>570</v>
      </c>
      <c r="O62" s="15" t="b">
        <v>1</v>
      </c>
    </row>
    <row r="63" spans="1:23" x14ac:dyDescent="0.25">
      <c r="A63" s="94"/>
      <c r="B63" s="38" t="s">
        <v>555</v>
      </c>
      <c r="C63" s="38"/>
      <c r="D63" s="35"/>
      <c r="E63" s="10">
        <v>68.260000000000005</v>
      </c>
      <c r="F63" s="10">
        <v>7.77</v>
      </c>
      <c r="G63" s="10">
        <v>16.39</v>
      </c>
      <c r="H63" s="10">
        <v>7.58</v>
      </c>
      <c r="I63" s="8"/>
      <c r="J63" s="10"/>
      <c r="K63" s="8">
        <v>31.491</v>
      </c>
      <c r="L63" s="16" t="s">
        <v>556</v>
      </c>
      <c r="M63" s="16" t="s">
        <v>473</v>
      </c>
      <c r="N63" s="7"/>
      <c r="O63" s="16" t="b">
        <v>1</v>
      </c>
    </row>
    <row r="64" spans="1:23" ht="30" customHeight="1" x14ac:dyDescent="0.25">
      <c r="A64" s="84" t="s">
        <v>247</v>
      </c>
      <c r="B64" s="40" t="s">
        <v>558</v>
      </c>
      <c r="C64" s="13"/>
      <c r="D64" s="3"/>
      <c r="E64" s="3">
        <v>56.41</v>
      </c>
      <c r="F64" s="3">
        <v>6.42</v>
      </c>
      <c r="G64" s="3">
        <v>71.28</v>
      </c>
      <c r="H64" s="3">
        <v>2.16</v>
      </c>
      <c r="I64" s="4">
        <v>1.1100000000000001</v>
      </c>
      <c r="J64" s="3"/>
      <c r="K64" s="41">
        <v>19.79</v>
      </c>
      <c r="L64" s="23" t="s">
        <v>559</v>
      </c>
      <c r="M64" s="23" t="s">
        <v>551</v>
      </c>
      <c r="N64" s="34" t="b">
        <v>1</v>
      </c>
      <c r="O64" s="41"/>
    </row>
    <row r="65" spans="1:15" x14ac:dyDescent="0.25">
      <c r="A65" s="85"/>
      <c r="B65" s="35" t="s">
        <v>574</v>
      </c>
      <c r="C65" s="38"/>
      <c r="D65" s="35"/>
      <c r="E65" s="10">
        <v>44.4</v>
      </c>
      <c r="F65" s="10">
        <v>8.1</v>
      </c>
      <c r="G65" s="10">
        <v>47.1</v>
      </c>
      <c r="H65" s="10">
        <v>0.4</v>
      </c>
      <c r="I65" s="8"/>
      <c r="J65" s="10"/>
      <c r="K65" s="8">
        <v>14</v>
      </c>
      <c r="L65" s="16" t="s">
        <v>570</v>
      </c>
      <c r="M65" s="16"/>
      <c r="N65" s="7"/>
      <c r="O65" s="8" t="b">
        <v>1</v>
      </c>
    </row>
    <row r="66" spans="1:15" x14ac:dyDescent="0.25">
      <c r="A66" s="84" t="s">
        <v>41</v>
      </c>
      <c r="B66" s="30"/>
      <c r="C66" s="39"/>
      <c r="D66" s="30"/>
      <c r="E66" s="3"/>
      <c r="F66" s="3"/>
      <c r="G66" s="3"/>
      <c r="H66" s="3"/>
      <c r="I66" s="4"/>
      <c r="J66" s="3"/>
      <c r="K66" s="4"/>
      <c r="L66" s="2"/>
      <c r="M66" s="2"/>
      <c r="N66" s="13"/>
      <c r="O66" s="4"/>
    </row>
    <row r="67" spans="1:15" ht="37.5" customHeight="1" x14ac:dyDescent="0.25">
      <c r="A67" s="85"/>
      <c r="B67" s="35" t="s">
        <v>571</v>
      </c>
      <c r="C67" s="38"/>
      <c r="D67" s="35"/>
      <c r="E67" s="10">
        <v>61.52</v>
      </c>
      <c r="F67" s="10">
        <v>8.5</v>
      </c>
      <c r="G67" s="10">
        <v>20.190000000000001</v>
      </c>
      <c r="H67" s="10">
        <v>9.7899999999999991</v>
      </c>
      <c r="I67" s="8"/>
      <c r="J67" s="10"/>
      <c r="K67" s="8">
        <v>29</v>
      </c>
      <c r="L67" s="16" t="s">
        <v>570</v>
      </c>
      <c r="M67" s="16"/>
      <c r="N67" s="7"/>
      <c r="O67" s="8" t="b">
        <v>1</v>
      </c>
    </row>
    <row r="68" spans="1:15" x14ac:dyDescent="0.25">
      <c r="A68" s="84" t="s">
        <v>246</v>
      </c>
      <c r="B68" s="30" t="s">
        <v>575</v>
      </c>
      <c r="C68" s="39"/>
      <c r="D68" s="30"/>
      <c r="E68" s="3">
        <v>27.41</v>
      </c>
      <c r="F68" s="3">
        <v>8.7200000000000006</v>
      </c>
      <c r="G68" s="3">
        <v>63.42</v>
      </c>
      <c r="H68" s="3">
        <v>0.45</v>
      </c>
      <c r="I68" s="4"/>
      <c r="J68" s="3"/>
      <c r="K68" s="4">
        <v>13.92</v>
      </c>
      <c r="L68" s="2" t="s">
        <v>570</v>
      </c>
      <c r="M68" s="2"/>
      <c r="N68" s="13"/>
      <c r="O68" s="4" t="b">
        <v>1</v>
      </c>
    </row>
    <row r="69" spans="1:15" x14ac:dyDescent="0.25">
      <c r="A69" s="85"/>
      <c r="B69" s="10"/>
      <c r="C69" s="7"/>
      <c r="D69" s="10"/>
      <c r="E69" s="10"/>
      <c r="F69" s="10"/>
      <c r="G69" s="10"/>
      <c r="H69" s="10"/>
      <c r="I69" s="8"/>
      <c r="J69" s="10"/>
      <c r="K69" s="8"/>
      <c r="L69" s="16"/>
      <c r="M69" s="16"/>
      <c r="N69" s="7"/>
      <c r="O69" s="8"/>
    </row>
    <row r="70" spans="1:15" x14ac:dyDescent="0.25">
      <c r="E70"/>
      <c r="H70"/>
    </row>
    <row r="71" spans="1:15" x14ac:dyDescent="0.25">
      <c r="E71"/>
      <c r="H71"/>
    </row>
    <row r="72" spans="1:15" x14ac:dyDescent="0.25">
      <c r="E72"/>
      <c r="H72" s="1"/>
    </row>
    <row r="73" spans="1:15" x14ac:dyDescent="0.25">
      <c r="E73"/>
      <c r="H73"/>
    </row>
    <row r="74" spans="1:15" x14ac:dyDescent="0.25">
      <c r="E74"/>
      <c r="H74"/>
    </row>
    <row r="75" spans="1:15" x14ac:dyDescent="0.25">
      <c r="E75"/>
      <c r="H75"/>
    </row>
    <row r="76" spans="1:15" x14ac:dyDescent="0.25">
      <c r="E76"/>
      <c r="H76"/>
    </row>
    <row r="77" spans="1:15" x14ac:dyDescent="0.25">
      <c r="E77"/>
      <c r="H77"/>
    </row>
    <row r="78" spans="1:15" x14ac:dyDescent="0.25">
      <c r="E78"/>
      <c r="H78"/>
    </row>
    <row r="79" spans="1:15" x14ac:dyDescent="0.25">
      <c r="E79"/>
      <c r="H79"/>
    </row>
    <row r="80" spans="1:15" x14ac:dyDescent="0.25">
      <c r="E80"/>
      <c r="H80"/>
    </row>
    <row r="81" spans="5:8" x14ac:dyDescent="0.25">
      <c r="E81"/>
      <c r="H81"/>
    </row>
    <row r="82" spans="5:8" x14ac:dyDescent="0.25">
      <c r="E82"/>
      <c r="H82"/>
    </row>
    <row r="83" spans="5:8" x14ac:dyDescent="0.25">
      <c r="E83"/>
      <c r="H83"/>
    </row>
    <row r="84" spans="5:8" x14ac:dyDescent="0.25">
      <c r="E84"/>
      <c r="H84"/>
    </row>
    <row r="85" spans="5:8" x14ac:dyDescent="0.25">
      <c r="E85"/>
      <c r="H85"/>
    </row>
    <row r="86" spans="5:8" x14ac:dyDescent="0.25">
      <c r="E86"/>
      <c r="H86"/>
    </row>
    <row r="87" spans="5:8" x14ac:dyDescent="0.25">
      <c r="E87"/>
      <c r="H87"/>
    </row>
    <row r="88" spans="5:8" x14ac:dyDescent="0.25">
      <c r="E88"/>
      <c r="H88"/>
    </row>
    <row r="89" spans="5:8" x14ac:dyDescent="0.25">
      <c r="E89"/>
      <c r="H89"/>
    </row>
    <row r="90" spans="5:8" x14ac:dyDescent="0.25">
      <c r="E90"/>
      <c r="H90"/>
    </row>
    <row r="91" spans="5:8" x14ac:dyDescent="0.25">
      <c r="E91"/>
      <c r="H91"/>
    </row>
    <row r="92" spans="5:8" x14ac:dyDescent="0.25">
      <c r="E92"/>
      <c r="H92"/>
    </row>
    <row r="93" spans="5:8" x14ac:dyDescent="0.25">
      <c r="E93"/>
      <c r="H93"/>
    </row>
    <row r="94" spans="5:8" x14ac:dyDescent="0.25">
      <c r="E94"/>
      <c r="H94"/>
    </row>
    <row r="95" spans="5:8" x14ac:dyDescent="0.25">
      <c r="H95"/>
    </row>
    <row r="96" spans="5:8" x14ac:dyDescent="0.25">
      <c r="H96"/>
    </row>
    <row r="97" spans="8:8" x14ac:dyDescent="0.25">
      <c r="H97"/>
    </row>
    <row r="98" spans="8:8" x14ac:dyDescent="0.25">
      <c r="H98"/>
    </row>
    <row r="99" spans="8:8" x14ac:dyDescent="0.25">
      <c r="H99"/>
    </row>
    <row r="100" spans="8:8" x14ac:dyDescent="0.25">
      <c r="H100"/>
    </row>
    <row r="101" spans="8:8" x14ac:dyDescent="0.25">
      <c r="H101"/>
    </row>
    <row r="102" spans="8:8" x14ac:dyDescent="0.25">
      <c r="H102"/>
    </row>
    <row r="103" spans="8:8" x14ac:dyDescent="0.25">
      <c r="H103"/>
    </row>
    <row r="104" spans="8:8" x14ac:dyDescent="0.25">
      <c r="H104"/>
    </row>
    <row r="105" spans="8:8" x14ac:dyDescent="0.25">
      <c r="H105"/>
    </row>
    <row r="106" spans="8:8" x14ac:dyDescent="0.25">
      <c r="H106"/>
    </row>
    <row r="107" spans="8:8" x14ac:dyDescent="0.25">
      <c r="H107"/>
    </row>
    <row r="108" spans="8:8" x14ac:dyDescent="0.25">
      <c r="H108"/>
    </row>
    <row r="109" spans="8:8" x14ac:dyDescent="0.25">
      <c r="H109"/>
    </row>
    <row r="110" spans="8:8" x14ac:dyDescent="0.25">
      <c r="H110"/>
    </row>
    <row r="111" spans="8:8" x14ac:dyDescent="0.25">
      <c r="H111"/>
    </row>
    <row r="112" spans="8:8" x14ac:dyDescent="0.25">
      <c r="H112"/>
    </row>
    <row r="113" spans="8:8" x14ac:dyDescent="0.25">
      <c r="H113"/>
    </row>
    <row r="114" spans="8:8" x14ac:dyDescent="0.25">
      <c r="H114"/>
    </row>
    <row r="115" spans="8:8" x14ac:dyDescent="0.25">
      <c r="H115"/>
    </row>
    <row r="116" spans="8:8" x14ac:dyDescent="0.25">
      <c r="H116"/>
    </row>
    <row r="117" spans="8:8" x14ac:dyDescent="0.25">
      <c r="H117"/>
    </row>
    <row r="118" spans="8:8" x14ac:dyDescent="0.25">
      <c r="H118"/>
    </row>
    <row r="119" spans="8:8" x14ac:dyDescent="0.25">
      <c r="H119"/>
    </row>
    <row r="120" spans="8:8" x14ac:dyDescent="0.25">
      <c r="H120"/>
    </row>
    <row r="121" spans="8:8" x14ac:dyDescent="0.25">
      <c r="H121"/>
    </row>
    <row r="122" spans="8:8" x14ac:dyDescent="0.25">
      <c r="H122"/>
    </row>
    <row r="123" spans="8:8" x14ac:dyDescent="0.25">
      <c r="H123"/>
    </row>
    <row r="124" spans="8:8" x14ac:dyDescent="0.25">
      <c r="H124"/>
    </row>
    <row r="125" spans="8:8" x14ac:dyDescent="0.25">
      <c r="H125"/>
    </row>
    <row r="126" spans="8:8" x14ac:dyDescent="0.25">
      <c r="H126"/>
    </row>
    <row r="127" spans="8:8" x14ac:dyDescent="0.25">
      <c r="H127"/>
    </row>
    <row r="128" spans="8:8" x14ac:dyDescent="0.25">
      <c r="H128"/>
    </row>
    <row r="129" spans="8:8" x14ac:dyDescent="0.25">
      <c r="H129"/>
    </row>
    <row r="130" spans="8:8" x14ac:dyDescent="0.25">
      <c r="H130"/>
    </row>
    <row r="131" spans="8:8" x14ac:dyDescent="0.25">
      <c r="H131"/>
    </row>
    <row r="132" spans="8:8" x14ac:dyDescent="0.25">
      <c r="H132"/>
    </row>
    <row r="133" spans="8:8" x14ac:dyDescent="0.25">
      <c r="H133"/>
    </row>
    <row r="134" spans="8:8" x14ac:dyDescent="0.25">
      <c r="H134"/>
    </row>
    <row r="135" spans="8:8" x14ac:dyDescent="0.25">
      <c r="H135"/>
    </row>
    <row r="136" spans="8:8" x14ac:dyDescent="0.25">
      <c r="H136"/>
    </row>
    <row r="137" spans="8:8" x14ac:dyDescent="0.25">
      <c r="H137"/>
    </row>
    <row r="138" spans="8:8" x14ac:dyDescent="0.25">
      <c r="H138"/>
    </row>
    <row r="139" spans="8:8" x14ac:dyDescent="0.25">
      <c r="H139"/>
    </row>
    <row r="140" spans="8:8" x14ac:dyDescent="0.25">
      <c r="H140"/>
    </row>
    <row r="141" spans="8:8" x14ac:dyDescent="0.25">
      <c r="H141"/>
    </row>
    <row r="142" spans="8:8" x14ac:dyDescent="0.25">
      <c r="H142"/>
    </row>
    <row r="143" spans="8:8" x14ac:dyDescent="0.25">
      <c r="H143"/>
    </row>
    <row r="144" spans="8:8" x14ac:dyDescent="0.25">
      <c r="H144"/>
    </row>
    <row r="145" spans="8:8" x14ac:dyDescent="0.25">
      <c r="H145"/>
    </row>
    <row r="146" spans="8:8" x14ac:dyDescent="0.25">
      <c r="H146"/>
    </row>
    <row r="147" spans="8:8" x14ac:dyDescent="0.25">
      <c r="H147"/>
    </row>
    <row r="148" spans="8:8" x14ac:dyDescent="0.25">
      <c r="H148"/>
    </row>
    <row r="149" spans="8:8" x14ac:dyDescent="0.25">
      <c r="H149"/>
    </row>
    <row r="150" spans="8:8" x14ac:dyDescent="0.25">
      <c r="H150"/>
    </row>
    <row r="151" spans="8:8" x14ac:dyDescent="0.25">
      <c r="H151"/>
    </row>
    <row r="152" spans="8:8" x14ac:dyDescent="0.25">
      <c r="H152"/>
    </row>
    <row r="153" spans="8:8" x14ac:dyDescent="0.25">
      <c r="H153"/>
    </row>
    <row r="154" spans="8:8" x14ac:dyDescent="0.25">
      <c r="H154"/>
    </row>
    <row r="155" spans="8:8" x14ac:dyDescent="0.25">
      <c r="H155"/>
    </row>
    <row r="156" spans="8:8" x14ac:dyDescent="0.25">
      <c r="H156"/>
    </row>
    <row r="157" spans="8:8" x14ac:dyDescent="0.25">
      <c r="H157"/>
    </row>
    <row r="158" spans="8:8" x14ac:dyDescent="0.25">
      <c r="H158"/>
    </row>
    <row r="159" spans="8:8" x14ac:dyDescent="0.25">
      <c r="H159"/>
    </row>
    <row r="160" spans="8:8" x14ac:dyDescent="0.25">
      <c r="H160"/>
    </row>
    <row r="161" spans="8:8" x14ac:dyDescent="0.25">
      <c r="H161"/>
    </row>
    <row r="162" spans="8:8" x14ac:dyDescent="0.25">
      <c r="H162"/>
    </row>
    <row r="163" spans="8:8" x14ac:dyDescent="0.25">
      <c r="H163"/>
    </row>
    <row r="164" spans="8:8" x14ac:dyDescent="0.25">
      <c r="H164"/>
    </row>
    <row r="165" spans="8:8" x14ac:dyDescent="0.25">
      <c r="H165"/>
    </row>
    <row r="166" spans="8:8" x14ac:dyDescent="0.25">
      <c r="H166"/>
    </row>
    <row r="167" spans="8:8" x14ac:dyDescent="0.25">
      <c r="H167"/>
    </row>
    <row r="168" spans="8:8" x14ac:dyDescent="0.25">
      <c r="H168"/>
    </row>
    <row r="169" spans="8:8" x14ac:dyDescent="0.25">
      <c r="H169"/>
    </row>
    <row r="170" spans="8:8" x14ac:dyDescent="0.25">
      <c r="H170"/>
    </row>
    <row r="171" spans="8:8" x14ac:dyDescent="0.25">
      <c r="H171"/>
    </row>
    <row r="172" spans="8:8" x14ac:dyDescent="0.25">
      <c r="H172"/>
    </row>
    <row r="173" spans="8:8" x14ac:dyDescent="0.25">
      <c r="H173"/>
    </row>
    <row r="174" spans="8:8" x14ac:dyDescent="0.25">
      <c r="H174"/>
    </row>
    <row r="175" spans="8:8" x14ac:dyDescent="0.25">
      <c r="H175"/>
    </row>
    <row r="176" spans="8:8" x14ac:dyDescent="0.25">
      <c r="H176"/>
    </row>
    <row r="177" spans="8:8" x14ac:dyDescent="0.25">
      <c r="H177"/>
    </row>
    <row r="178" spans="8:8" x14ac:dyDescent="0.25">
      <c r="H178"/>
    </row>
    <row r="179" spans="8:8" x14ac:dyDescent="0.25">
      <c r="H179"/>
    </row>
    <row r="180" spans="8:8" x14ac:dyDescent="0.25">
      <c r="H180"/>
    </row>
    <row r="181" spans="8:8" x14ac:dyDescent="0.25">
      <c r="H181"/>
    </row>
    <row r="182" spans="8:8" x14ac:dyDescent="0.25">
      <c r="H182"/>
    </row>
    <row r="183" spans="8:8" x14ac:dyDescent="0.25">
      <c r="H183"/>
    </row>
    <row r="184" spans="8:8" x14ac:dyDescent="0.25">
      <c r="H184"/>
    </row>
    <row r="185" spans="8:8" x14ac:dyDescent="0.25">
      <c r="H185"/>
    </row>
    <row r="186" spans="8:8" x14ac:dyDescent="0.25">
      <c r="H186"/>
    </row>
    <row r="187" spans="8:8" x14ac:dyDescent="0.25">
      <c r="H187"/>
    </row>
    <row r="188" spans="8:8" x14ac:dyDescent="0.25">
      <c r="H188"/>
    </row>
    <row r="189" spans="8:8" x14ac:dyDescent="0.25">
      <c r="H189"/>
    </row>
    <row r="190" spans="8:8" x14ac:dyDescent="0.25">
      <c r="H190"/>
    </row>
    <row r="191" spans="8:8" x14ac:dyDescent="0.25">
      <c r="H191"/>
    </row>
    <row r="192" spans="8:8" x14ac:dyDescent="0.25">
      <c r="H192"/>
    </row>
    <row r="193" spans="8:8" x14ac:dyDescent="0.25">
      <c r="H193"/>
    </row>
    <row r="194" spans="8:8" x14ac:dyDescent="0.25">
      <c r="H194"/>
    </row>
    <row r="195" spans="8:8" x14ac:dyDescent="0.25">
      <c r="H195"/>
    </row>
    <row r="196" spans="8:8" x14ac:dyDescent="0.25">
      <c r="H196"/>
    </row>
    <row r="197" spans="8:8" x14ac:dyDescent="0.25">
      <c r="H197"/>
    </row>
    <row r="198" spans="8:8" x14ac:dyDescent="0.25">
      <c r="H198"/>
    </row>
    <row r="199" spans="8:8" x14ac:dyDescent="0.25">
      <c r="H199"/>
    </row>
    <row r="200" spans="8:8" x14ac:dyDescent="0.25">
      <c r="H200"/>
    </row>
    <row r="201" spans="8:8" x14ac:dyDescent="0.25">
      <c r="H201"/>
    </row>
    <row r="202" spans="8:8" x14ac:dyDescent="0.25">
      <c r="H202"/>
    </row>
    <row r="203" spans="8:8" x14ac:dyDescent="0.25">
      <c r="H203"/>
    </row>
    <row r="204" spans="8:8" x14ac:dyDescent="0.25">
      <c r="H204"/>
    </row>
    <row r="205" spans="8:8" x14ac:dyDescent="0.25">
      <c r="H205"/>
    </row>
    <row r="206" spans="8:8" x14ac:dyDescent="0.25">
      <c r="H206"/>
    </row>
    <row r="207" spans="8:8" x14ac:dyDescent="0.25">
      <c r="H207"/>
    </row>
    <row r="208" spans="8:8" x14ac:dyDescent="0.25">
      <c r="H208"/>
    </row>
    <row r="209" spans="8:8" x14ac:dyDescent="0.25">
      <c r="H209"/>
    </row>
    <row r="210" spans="8:8" x14ac:dyDescent="0.25">
      <c r="H210"/>
    </row>
    <row r="211" spans="8:8" x14ac:dyDescent="0.25">
      <c r="H211"/>
    </row>
    <row r="212" spans="8:8" x14ac:dyDescent="0.25">
      <c r="H212"/>
    </row>
    <row r="213" spans="8:8" x14ac:dyDescent="0.25">
      <c r="H213"/>
    </row>
    <row r="214" spans="8:8" x14ac:dyDescent="0.25">
      <c r="H214"/>
    </row>
    <row r="215" spans="8:8" x14ac:dyDescent="0.25">
      <c r="H215"/>
    </row>
    <row r="216" spans="8:8" x14ac:dyDescent="0.25">
      <c r="H216"/>
    </row>
    <row r="217" spans="8:8" x14ac:dyDescent="0.25">
      <c r="H217"/>
    </row>
    <row r="218" spans="8:8" x14ac:dyDescent="0.25">
      <c r="H218"/>
    </row>
    <row r="219" spans="8:8" x14ac:dyDescent="0.25">
      <c r="H219"/>
    </row>
    <row r="220" spans="8:8" x14ac:dyDescent="0.25">
      <c r="H220"/>
    </row>
    <row r="221" spans="8:8" x14ac:dyDescent="0.25">
      <c r="H221"/>
    </row>
    <row r="222" spans="8:8" x14ac:dyDescent="0.25">
      <c r="H222"/>
    </row>
    <row r="223" spans="8:8" x14ac:dyDescent="0.25">
      <c r="H223"/>
    </row>
    <row r="224" spans="8:8" x14ac:dyDescent="0.25">
      <c r="H224"/>
    </row>
    <row r="225" spans="8:8" x14ac:dyDescent="0.25">
      <c r="H225"/>
    </row>
    <row r="226" spans="8:8" x14ac:dyDescent="0.25">
      <c r="H226"/>
    </row>
    <row r="227" spans="8:8" x14ac:dyDescent="0.25">
      <c r="H227"/>
    </row>
    <row r="228" spans="8:8" x14ac:dyDescent="0.25">
      <c r="H228"/>
    </row>
    <row r="229" spans="8:8" x14ac:dyDescent="0.25">
      <c r="H229"/>
    </row>
    <row r="230" spans="8:8" x14ac:dyDescent="0.25">
      <c r="H230"/>
    </row>
    <row r="231" spans="8:8" x14ac:dyDescent="0.25">
      <c r="H231"/>
    </row>
    <row r="232" spans="8:8" x14ac:dyDescent="0.25">
      <c r="H232"/>
    </row>
    <row r="233" spans="8:8" x14ac:dyDescent="0.25">
      <c r="H233"/>
    </row>
    <row r="234" spans="8:8" x14ac:dyDescent="0.25">
      <c r="H234"/>
    </row>
    <row r="235" spans="8:8" x14ac:dyDescent="0.25">
      <c r="H235"/>
    </row>
    <row r="236" spans="8:8" x14ac:dyDescent="0.25">
      <c r="H236"/>
    </row>
    <row r="237" spans="8:8" x14ac:dyDescent="0.25">
      <c r="H237"/>
    </row>
    <row r="238" spans="8:8" x14ac:dyDescent="0.25">
      <c r="H238"/>
    </row>
    <row r="239" spans="8:8" x14ac:dyDescent="0.25">
      <c r="H239"/>
    </row>
    <row r="240" spans="8:8" x14ac:dyDescent="0.25">
      <c r="H240"/>
    </row>
    <row r="241" spans="8:8" x14ac:dyDescent="0.25">
      <c r="H241"/>
    </row>
    <row r="242" spans="8:8" x14ac:dyDescent="0.25">
      <c r="H242"/>
    </row>
    <row r="243" spans="8:8" x14ac:dyDescent="0.25">
      <c r="H243"/>
    </row>
    <row r="244" spans="8:8" x14ac:dyDescent="0.25">
      <c r="H244"/>
    </row>
    <row r="245" spans="8:8" x14ac:dyDescent="0.25">
      <c r="H245"/>
    </row>
    <row r="246" spans="8:8" x14ac:dyDescent="0.25">
      <c r="H246"/>
    </row>
    <row r="247" spans="8:8" x14ac:dyDescent="0.25">
      <c r="H247"/>
    </row>
    <row r="248" spans="8:8" x14ac:dyDescent="0.25">
      <c r="H248"/>
    </row>
    <row r="249" spans="8:8" x14ac:dyDescent="0.25">
      <c r="H249"/>
    </row>
    <row r="250" spans="8:8" x14ac:dyDescent="0.25">
      <c r="H250"/>
    </row>
    <row r="251" spans="8:8" x14ac:dyDescent="0.25">
      <c r="H251"/>
    </row>
    <row r="252" spans="8:8" x14ac:dyDescent="0.25">
      <c r="H252"/>
    </row>
    <row r="253" spans="8:8" x14ac:dyDescent="0.25">
      <c r="H253"/>
    </row>
    <row r="254" spans="8:8" x14ac:dyDescent="0.25">
      <c r="H254"/>
    </row>
    <row r="255" spans="8:8" x14ac:dyDescent="0.25">
      <c r="H255"/>
    </row>
    <row r="256" spans="8:8" x14ac:dyDescent="0.25">
      <c r="H256"/>
    </row>
    <row r="257" spans="8:8" x14ac:dyDescent="0.25">
      <c r="H257"/>
    </row>
    <row r="258" spans="8:8" x14ac:dyDescent="0.25">
      <c r="H258"/>
    </row>
    <row r="259" spans="8:8" x14ac:dyDescent="0.25">
      <c r="H259"/>
    </row>
    <row r="260" spans="8:8" x14ac:dyDescent="0.25">
      <c r="H260"/>
    </row>
    <row r="261" spans="8:8" x14ac:dyDescent="0.25">
      <c r="H261"/>
    </row>
    <row r="262" spans="8:8" x14ac:dyDescent="0.25">
      <c r="H262"/>
    </row>
    <row r="263" spans="8:8" x14ac:dyDescent="0.25">
      <c r="H263"/>
    </row>
    <row r="264" spans="8:8" x14ac:dyDescent="0.25">
      <c r="H264"/>
    </row>
    <row r="265" spans="8:8" x14ac:dyDescent="0.25">
      <c r="H265"/>
    </row>
    <row r="266" spans="8:8" x14ac:dyDescent="0.25">
      <c r="H266"/>
    </row>
    <row r="267" spans="8:8" x14ac:dyDescent="0.25">
      <c r="H267"/>
    </row>
    <row r="268" spans="8:8" x14ac:dyDescent="0.25">
      <c r="H268"/>
    </row>
    <row r="269" spans="8:8" x14ac:dyDescent="0.25">
      <c r="H269"/>
    </row>
    <row r="270" spans="8:8" x14ac:dyDescent="0.25">
      <c r="H270"/>
    </row>
    <row r="271" spans="8:8" x14ac:dyDescent="0.25">
      <c r="H271"/>
    </row>
    <row r="272" spans="8:8" x14ac:dyDescent="0.25">
      <c r="H272"/>
    </row>
    <row r="273" spans="8:8" x14ac:dyDescent="0.25">
      <c r="H273"/>
    </row>
    <row r="274" spans="8:8" x14ac:dyDescent="0.25">
      <c r="H274"/>
    </row>
    <row r="275" spans="8:8" x14ac:dyDescent="0.25">
      <c r="H275"/>
    </row>
    <row r="276" spans="8:8" x14ac:dyDescent="0.25">
      <c r="H276"/>
    </row>
    <row r="277" spans="8:8" x14ac:dyDescent="0.25">
      <c r="H277"/>
    </row>
    <row r="278" spans="8:8" x14ac:dyDescent="0.25">
      <c r="H278"/>
    </row>
    <row r="279" spans="8:8" x14ac:dyDescent="0.25">
      <c r="H279"/>
    </row>
    <row r="280" spans="8:8" x14ac:dyDescent="0.25">
      <c r="H280"/>
    </row>
    <row r="281" spans="8:8" x14ac:dyDescent="0.25">
      <c r="H281"/>
    </row>
    <row r="282" spans="8:8" x14ac:dyDescent="0.25">
      <c r="H282"/>
    </row>
    <row r="283" spans="8:8" x14ac:dyDescent="0.25">
      <c r="H283"/>
    </row>
    <row r="284" spans="8:8" x14ac:dyDescent="0.25">
      <c r="H284"/>
    </row>
    <row r="285" spans="8:8" x14ac:dyDescent="0.25">
      <c r="H285"/>
    </row>
    <row r="286" spans="8:8" x14ac:dyDescent="0.25">
      <c r="H286"/>
    </row>
    <row r="287" spans="8:8" x14ac:dyDescent="0.25">
      <c r="H287"/>
    </row>
    <row r="288" spans="8:8" x14ac:dyDescent="0.25">
      <c r="H288"/>
    </row>
    <row r="289" spans="8:8" x14ac:dyDescent="0.25">
      <c r="H289"/>
    </row>
    <row r="290" spans="8:8" x14ac:dyDescent="0.25">
      <c r="H290"/>
    </row>
    <row r="291" spans="8:8" x14ac:dyDescent="0.25">
      <c r="H291"/>
    </row>
    <row r="292" spans="8:8" x14ac:dyDescent="0.25">
      <c r="H292"/>
    </row>
    <row r="293" spans="8:8" x14ac:dyDescent="0.25">
      <c r="H293"/>
    </row>
    <row r="294" spans="8:8" x14ac:dyDescent="0.25">
      <c r="H294"/>
    </row>
    <row r="295" spans="8:8" x14ac:dyDescent="0.25">
      <c r="H295"/>
    </row>
    <row r="296" spans="8:8" x14ac:dyDescent="0.25">
      <c r="H296"/>
    </row>
    <row r="297" spans="8:8" x14ac:dyDescent="0.25">
      <c r="H297"/>
    </row>
    <row r="298" spans="8:8" x14ac:dyDescent="0.25">
      <c r="H298"/>
    </row>
    <row r="299" spans="8:8" x14ac:dyDescent="0.25">
      <c r="H299"/>
    </row>
    <row r="300" spans="8:8" x14ac:dyDescent="0.25">
      <c r="H300"/>
    </row>
    <row r="301" spans="8:8" x14ac:dyDescent="0.25">
      <c r="H301"/>
    </row>
    <row r="302" spans="8:8" x14ac:dyDescent="0.25">
      <c r="H302"/>
    </row>
    <row r="303" spans="8:8" x14ac:dyDescent="0.25">
      <c r="H303"/>
    </row>
    <row r="304" spans="8:8" x14ac:dyDescent="0.25">
      <c r="H304"/>
    </row>
    <row r="305" spans="8:8" x14ac:dyDescent="0.25">
      <c r="H305"/>
    </row>
    <row r="306" spans="8:8" x14ac:dyDescent="0.25">
      <c r="H306"/>
    </row>
    <row r="307" spans="8:8" x14ac:dyDescent="0.25">
      <c r="H307"/>
    </row>
    <row r="308" spans="8:8" x14ac:dyDescent="0.25">
      <c r="H308"/>
    </row>
    <row r="309" spans="8:8" x14ac:dyDescent="0.25">
      <c r="H309"/>
    </row>
    <row r="310" spans="8:8" x14ac:dyDescent="0.25">
      <c r="H310"/>
    </row>
    <row r="311" spans="8:8" x14ac:dyDescent="0.25">
      <c r="H311"/>
    </row>
    <row r="312" spans="8:8" x14ac:dyDescent="0.25">
      <c r="H312"/>
    </row>
    <row r="313" spans="8:8" x14ac:dyDescent="0.25">
      <c r="H313"/>
    </row>
    <row r="314" spans="8:8" x14ac:dyDescent="0.25">
      <c r="H314"/>
    </row>
    <row r="315" spans="8:8" x14ac:dyDescent="0.25">
      <c r="H315"/>
    </row>
    <row r="316" spans="8:8" x14ac:dyDescent="0.25">
      <c r="H316"/>
    </row>
    <row r="317" spans="8:8" x14ac:dyDescent="0.25">
      <c r="H317"/>
    </row>
    <row r="318" spans="8:8" x14ac:dyDescent="0.25">
      <c r="H318"/>
    </row>
    <row r="319" spans="8:8" x14ac:dyDescent="0.25">
      <c r="H319"/>
    </row>
    <row r="320" spans="8:8" x14ac:dyDescent="0.25">
      <c r="H320"/>
    </row>
    <row r="321" spans="8:8" x14ac:dyDescent="0.25">
      <c r="H321"/>
    </row>
  </sheetData>
  <mergeCells count="6">
    <mergeCell ref="A64:A65"/>
    <mergeCell ref="A66:A67"/>
    <mergeCell ref="A68:A69"/>
    <mergeCell ref="A3:A33"/>
    <mergeCell ref="A34:A55"/>
    <mergeCell ref="A56:A6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DAAA-72AA-4DBD-867D-76E908A1C0F0}">
  <dimension ref="A2:M26"/>
  <sheetViews>
    <sheetView workbookViewId="0">
      <selection activeCell="E31" sqref="E31"/>
    </sheetView>
  </sheetViews>
  <sheetFormatPr defaultRowHeight="15" x14ac:dyDescent="0.25"/>
  <cols>
    <col min="1" max="1" width="10.5703125" bestFit="1" customWidth="1"/>
    <col min="3" max="3" width="17.42578125" bestFit="1" customWidth="1"/>
    <col min="4" max="4" width="20.7109375" bestFit="1" customWidth="1"/>
    <col min="5" max="5" width="12.28515625" bestFit="1" customWidth="1"/>
    <col min="7" max="7" width="15.5703125" bestFit="1" customWidth="1"/>
    <col min="8" max="8" width="21.85546875" bestFit="1" customWidth="1"/>
    <col min="9" max="9" width="18.7109375" bestFit="1" customWidth="1"/>
    <col min="10" max="10" width="10.85546875" bestFit="1" customWidth="1"/>
    <col min="11" max="11" width="11" bestFit="1" customWidth="1"/>
    <col min="12" max="12" width="7.28515625" bestFit="1" customWidth="1"/>
    <col min="13" max="13" width="10" bestFit="1" customWidth="1"/>
  </cols>
  <sheetData>
    <row r="2" spans="1:13" x14ac:dyDescent="0.25">
      <c r="A2" s="1" t="s">
        <v>26</v>
      </c>
      <c r="B2" s="1"/>
      <c r="C2" s="1" t="s">
        <v>27</v>
      </c>
      <c r="D2" s="1" t="s">
        <v>29</v>
      </c>
      <c r="E2" s="1" t="s">
        <v>30</v>
      </c>
      <c r="G2" s="103" t="s">
        <v>52</v>
      </c>
      <c r="H2" s="103"/>
      <c r="I2" s="103"/>
      <c r="J2" s="103"/>
      <c r="K2" s="103"/>
      <c r="L2" s="103"/>
      <c r="M2" s="103"/>
    </row>
    <row r="4" spans="1:13" x14ac:dyDescent="0.25">
      <c r="C4" s="1" t="s">
        <v>28</v>
      </c>
      <c r="D4" s="9" t="s">
        <v>31</v>
      </c>
      <c r="E4" t="s">
        <v>32</v>
      </c>
      <c r="G4" t="s">
        <v>53</v>
      </c>
      <c r="H4" t="s">
        <v>54</v>
      </c>
      <c r="I4" t="s">
        <v>55</v>
      </c>
    </row>
    <row r="5" spans="1:13" x14ac:dyDescent="0.25">
      <c r="E5" t="s">
        <v>33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</row>
    <row r="6" spans="1:13" x14ac:dyDescent="0.25">
      <c r="E6" t="s">
        <v>34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</row>
    <row r="7" spans="1:13" x14ac:dyDescent="0.25">
      <c r="E7" t="s">
        <v>35</v>
      </c>
      <c r="G7" t="s">
        <v>68</v>
      </c>
      <c r="H7" t="s">
        <v>69</v>
      </c>
    </row>
    <row r="8" spans="1:13" x14ac:dyDescent="0.25">
      <c r="C8" s="1" t="s">
        <v>36</v>
      </c>
      <c r="D8" s="9" t="s">
        <v>37</v>
      </c>
      <c r="E8" t="s">
        <v>38</v>
      </c>
      <c r="G8" t="s">
        <v>2</v>
      </c>
      <c r="H8" t="s">
        <v>70</v>
      </c>
      <c r="I8" t="s">
        <v>71</v>
      </c>
      <c r="J8" t="s">
        <v>72</v>
      </c>
    </row>
    <row r="9" spans="1:13" x14ac:dyDescent="0.25">
      <c r="E9" t="s">
        <v>39</v>
      </c>
      <c r="G9" t="s">
        <v>73</v>
      </c>
      <c r="H9" t="s">
        <v>74</v>
      </c>
      <c r="I9" t="s">
        <v>75</v>
      </c>
    </row>
    <row r="10" spans="1:13" x14ac:dyDescent="0.25">
      <c r="C10" s="1" t="s">
        <v>40</v>
      </c>
      <c r="D10" s="9" t="s">
        <v>41</v>
      </c>
      <c r="E10" t="s">
        <v>42</v>
      </c>
      <c r="G10" t="s">
        <v>76</v>
      </c>
      <c r="H10" t="s">
        <v>77</v>
      </c>
    </row>
    <row r="11" spans="1:13" x14ac:dyDescent="0.25">
      <c r="E11" t="s">
        <v>43</v>
      </c>
      <c r="G11" t="s">
        <v>78</v>
      </c>
      <c r="H11" t="s">
        <v>79</v>
      </c>
    </row>
    <row r="12" spans="1:13" x14ac:dyDescent="0.25">
      <c r="E12" t="s">
        <v>44</v>
      </c>
      <c r="G12" t="s">
        <v>8</v>
      </c>
      <c r="H12" t="s">
        <v>80</v>
      </c>
      <c r="I12" t="s">
        <v>81</v>
      </c>
    </row>
    <row r="13" spans="1:13" x14ac:dyDescent="0.25">
      <c r="C13" s="1" t="s">
        <v>45</v>
      </c>
      <c r="D13" s="9" t="s">
        <v>46</v>
      </c>
      <c r="E13" t="s">
        <v>47</v>
      </c>
      <c r="G13" t="s">
        <v>82</v>
      </c>
      <c r="H13" t="s">
        <v>83</v>
      </c>
      <c r="I13" t="s">
        <v>84</v>
      </c>
    </row>
    <row r="14" spans="1:13" x14ac:dyDescent="0.25">
      <c r="E14" t="s">
        <v>48</v>
      </c>
      <c r="G14" t="s">
        <v>85</v>
      </c>
      <c r="H14" t="s">
        <v>86</v>
      </c>
    </row>
    <row r="15" spans="1:13" x14ac:dyDescent="0.25">
      <c r="D15" s="9" t="s">
        <v>51</v>
      </c>
      <c r="E15" t="s">
        <v>49</v>
      </c>
      <c r="G15" t="s">
        <v>87</v>
      </c>
      <c r="H15" t="s">
        <v>88</v>
      </c>
      <c r="I15" t="s">
        <v>89</v>
      </c>
      <c r="J15" t="s">
        <v>90</v>
      </c>
      <c r="K15" t="s">
        <v>91</v>
      </c>
    </row>
    <row r="16" spans="1:13" x14ac:dyDescent="0.25">
      <c r="E16" t="s">
        <v>50</v>
      </c>
      <c r="G16" t="s">
        <v>92</v>
      </c>
      <c r="H16" t="s">
        <v>93</v>
      </c>
      <c r="I16" t="s">
        <v>94</v>
      </c>
    </row>
    <row r="23" spans="3:3" x14ac:dyDescent="0.25">
      <c r="C23" s="104"/>
    </row>
    <row r="24" spans="3:3" x14ac:dyDescent="0.25">
      <c r="C24" s="104"/>
    </row>
    <row r="25" spans="3:3" x14ac:dyDescent="0.25">
      <c r="C25" s="104"/>
    </row>
    <row r="26" spans="3:3" x14ac:dyDescent="0.25">
      <c r="C26" s="104"/>
    </row>
  </sheetData>
  <mergeCells count="2">
    <mergeCell ref="G2:M2"/>
    <mergeCell ref="C23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w.proximate+ultimate</vt:lpstr>
      <vt:lpstr>Bio-oil values</vt:lpstr>
      <vt:lpstr>Feedstock tab 1.3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holst</dc:creator>
  <cp:lastModifiedBy>Kasper Holst</cp:lastModifiedBy>
  <dcterms:created xsi:type="dcterms:W3CDTF">2015-06-05T18:19:34Z</dcterms:created>
  <dcterms:modified xsi:type="dcterms:W3CDTF">2026-04-09T10:43:22Z</dcterms:modified>
</cp:coreProperties>
</file>